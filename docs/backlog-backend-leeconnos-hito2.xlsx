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Backlog Backend" state="visible" r:id="rId4"/>
    <sheet sheetId="2" name="Resumen" state="visible" r:id="rId5"/>
    <sheet sheetId="3" name="Leyenda" state="visible" r:id="rId6"/>
  </sheets>
  <calcPr calcId="171027" fullCalcOnLoad="1"/>
</workbook>
</file>

<file path=xl/sharedStrings.xml><?xml version="1.0" encoding="utf-8"?>
<sst xmlns="http://schemas.openxmlformats.org/spreadsheetml/2006/main" count="753" uniqueCount="307">
  <si>
    <t>ID</t>
  </si>
  <si>
    <t>Épica</t>
  </si>
  <si>
    <t>HU</t>
  </si>
  <si>
    <t>Tarea Backend</t>
  </si>
  <si>
    <t>Prioridad</t>
  </si>
  <si>
    <t>Módulo</t>
  </si>
  <si>
    <t>Responsable</t>
  </si>
  <si>
    <t>Estado</t>
  </si>
  <si>
    <t>Notas</t>
  </si>
  <si>
    <t>T-B00-1</t>
  </si>
  <si>
    <t>Entorno y Documentación</t>
  </si>
  <si>
    <t>—</t>
  </si>
  <si>
    <t>Inicializar proyecto NestJS con estructura por módulos</t>
  </si>
  <si>
    <t>Alta</t>
  </si>
  <si>
    <t>Infraestructura</t>
  </si>
  <si>
    <t>Done</t>
  </si>
  <si>
    <t>Base del Hito 1</t>
  </si>
  <si>
    <t>T-B00-2</t>
  </si>
  <si>
    <t>Configurar ValidationPipe global y CORS</t>
  </si>
  <si>
    <t>T-B00-3</t>
  </si>
  <si>
    <t>Habilitar documentación OpenAPI/Swagger</t>
  </si>
  <si>
    <t>Disponible en /docs</t>
  </si>
  <si>
    <t>T-B00-4</t>
  </si>
  <si>
    <t>Definir estrategia de ramas (CONTRIBUTING.md)</t>
  </si>
  <si>
    <t>Media</t>
  </si>
  <si>
    <t>T-B00-5</t>
  </si>
  <si>
    <t>Escribir README con instrucciones de instalación</t>
  </si>
  <si>
    <t>T-B00-6</t>
  </si>
  <si>
    <t>Publicar repositorio y crear tag hito-1</t>
  </si>
  <si>
    <t>Backlog</t>
  </si>
  <si>
    <t>Requiere acción manual en GitHub</t>
  </si>
  <si>
    <t>T-B01-1</t>
  </si>
  <si>
    <t>Catálogo de Libros</t>
  </si>
  <si>
    <t>HU-001</t>
  </si>
  <si>
    <t>Modelar entidad Libro y DTOs de entrada/salida</t>
  </si>
  <si>
    <t>libros</t>
  </si>
  <si>
    <t>T-B01-2</t>
  </si>
  <si>
    <t>Endpoint POST /libros</t>
  </si>
  <si>
    <t>T-B01-3</t>
  </si>
  <si>
    <t>Endpoints GET /libros y GET /libros/:id</t>
  </si>
  <si>
    <t>T-B01-4</t>
  </si>
  <si>
    <t>Endpoints PATCH y DELETE /libros/:id</t>
  </si>
  <si>
    <t>T-B01-5</t>
  </si>
  <si>
    <t>Integrar Open Library para importar por ISBN</t>
  </si>
  <si>
    <t>Desafío específico del proyecto</t>
  </si>
  <si>
    <t>T-B01-6</t>
  </si>
  <si>
    <t>Modelar campo estado (disponible / preventa)</t>
  </si>
  <si>
    <t>Origen: Site Map</t>
  </si>
  <si>
    <t>T-B02-1</t>
  </si>
  <si>
    <t>HU-002</t>
  </si>
  <si>
    <t>Endpoint de filtro por género y autor</t>
  </si>
  <si>
    <t>T-B02-2</t>
  </si>
  <si>
    <t>DTO de parámetros de búsqueda</t>
  </si>
  <si>
    <t>T-B02-3</t>
  </si>
  <si>
    <t>Definir paginación y orden con UX/UI</t>
  </si>
  <si>
    <t>In review</t>
  </si>
  <si>
    <t>Hito 2: page, limit y orden implementados. Falta validar con UX/UI</t>
  </si>
  <si>
    <t>T-B03-1</t>
  </si>
  <si>
    <t>HU-003</t>
  </si>
  <si>
    <t>Confirmar taxonomía de géneros con UX/UI</t>
  </si>
  <si>
    <t>T-B03-2</t>
  </si>
  <si>
    <t>Endpoint de listado de categorías disponibles</t>
  </si>
  <si>
    <t>Baja</t>
  </si>
  <si>
    <t>Hito 2: GET /libros/generos</t>
  </si>
  <si>
    <t>T-B04-1</t>
  </si>
  <si>
    <t>HU-004</t>
  </si>
  <si>
    <t>Extender filtros (precio, formato, disponibilidad)</t>
  </si>
  <si>
    <t>Hito 2: precioMin, precioMax, formato, estado, enStock</t>
  </si>
  <si>
    <t>T-B05-1</t>
  </si>
  <si>
    <t>Motor de Recomendaciones ★</t>
  </si>
  <si>
    <t>HU-005</t>
  </si>
  <si>
    <t>Diseñar lógica de scoring (género + historial)</t>
  </si>
  <si>
    <t>recomendaciones</t>
  </si>
  <si>
    <t>Esfuerzo diferencial</t>
  </si>
  <si>
    <t>T-B05-2</t>
  </si>
  <si>
    <t>Endpoint GET /recomendaciones/usuario/:id</t>
  </si>
  <si>
    <t>T-B05-3</t>
  </si>
  <si>
    <t>Endpoint simulado de registro de compras</t>
  </si>
  <si>
    <t>T-B05-4</t>
  </si>
  <si>
    <t>Conectar motor al sistema real de Pedidos</t>
  </si>
  <si>
    <t>Hito 2: usa pedidos PAGADOS. Se elimina el endpoint de compras simuladas</t>
  </si>
  <si>
    <t>T-B06-1</t>
  </si>
  <si>
    <t>Perfiles de Librero</t>
  </si>
  <si>
    <t>HU-006</t>
  </si>
  <si>
    <t>Modelar PerfilLibrero y SeccionCurada</t>
  </si>
  <si>
    <t>libreros</t>
  </si>
  <si>
    <t>T-B06-2</t>
  </si>
  <si>
    <t>CRUD de perfil editorial del librero</t>
  </si>
  <si>
    <t>T-B06-3</t>
  </si>
  <si>
    <t>Endpoint de sección curada (agregar/listar)</t>
  </si>
  <si>
    <t>T-B06-4</t>
  </si>
  <si>
    <t>Endpoint "seguir librero"</t>
  </si>
  <si>
    <t>T-B07-1</t>
  </si>
  <si>
    <t>Gestión de Usuarios</t>
  </si>
  <si>
    <t>HU-007</t>
  </si>
  <si>
    <t>Modelar entidad Usuario y roles</t>
  </si>
  <si>
    <t>usuarios</t>
  </si>
  <si>
    <t>T-B07-2</t>
  </si>
  <si>
    <t>Endpoint de registro (POST /usuarios)</t>
  </si>
  <si>
    <t>T-B07-3</t>
  </si>
  <si>
    <t>Endpoint de login (token simulado)</t>
  </si>
  <si>
    <t>JWT real pendiente</t>
  </si>
  <si>
    <t>T-B07-4</t>
  </si>
  <si>
    <t>Implementar JWT real y guards por rol</t>
  </si>
  <si>
    <t>Hito 2: JWT real, guard global, @Public y @Roles</t>
  </si>
  <si>
    <t>T-B07-5</t>
  </si>
  <si>
    <t>Campo avatarUrl y selección de intereses</t>
  </si>
  <si>
    <t>T-B08-1</t>
  </si>
  <si>
    <t>Club de Lectura ★</t>
  </si>
  <si>
    <t>HU-008</t>
  </si>
  <si>
    <t>Modelar Club, Hilo, Comentario y Progreso</t>
  </si>
  <si>
    <t>club-lectura</t>
  </si>
  <si>
    <t>T-B08-2</t>
  </si>
  <si>
    <t>CRUD de clubes de lectura</t>
  </si>
  <si>
    <t>T-B08-3</t>
  </si>
  <si>
    <t>Endpoints de hilos de discusión y comentarios</t>
  </si>
  <si>
    <t>T-B08-4</t>
  </si>
  <si>
    <t>Endpoint de progreso de lectura compartido</t>
  </si>
  <si>
    <t>T-B09-1</t>
  </si>
  <si>
    <t>Reseñas</t>
  </si>
  <si>
    <t>HU-009</t>
  </si>
  <si>
    <t>Modelar entidad Reseña</t>
  </si>
  <si>
    <t>resenas</t>
  </si>
  <si>
    <t>T-B09-2</t>
  </si>
  <si>
    <t>CRUD de reseñas por libro</t>
  </si>
  <si>
    <t>T-B09-3</t>
  </si>
  <si>
    <t>Endpoint "mis reseñas" por usuario</t>
  </si>
  <si>
    <t>T-B09-4</t>
  </si>
  <si>
    <t>Validar reseña contra historial de compras real</t>
  </si>
  <si>
    <t>Depende de HU-011</t>
  </si>
  <si>
    <t>T-B10-1</t>
  </si>
  <si>
    <t>Listas de Deseos</t>
  </si>
  <si>
    <t>HU-010</t>
  </si>
  <si>
    <t>Modelar entidad ListaDeseos</t>
  </si>
  <si>
    <t>listas-deseos</t>
  </si>
  <si>
    <t>T-B10-2</t>
  </si>
  <si>
    <t>CRUD de listas de deseos</t>
  </si>
  <si>
    <t>T-B10-3</t>
  </si>
  <si>
    <t>Endpoint agregar/quitar libro de la lista</t>
  </si>
  <si>
    <t>T-B10-4</t>
  </si>
  <si>
    <t>Flag "para regalo"</t>
  </si>
  <si>
    <t>T-B11-1</t>
  </si>
  <si>
    <t>Pedidos y Compras</t>
  </si>
  <si>
    <t>HU-011</t>
  </si>
  <si>
    <t>Modelar entidad Pedido y sus estados</t>
  </si>
  <si>
    <t>pedidos</t>
  </si>
  <si>
    <t>Hito 2: PENDIENTE_PAGO, PAGADO, CANCELADO</t>
  </si>
  <si>
    <t>T-B11-2</t>
  </si>
  <si>
    <t>Endpoint de creación de pedido / carrito</t>
  </si>
  <si>
    <t>Hito 2: POST /pedidos (checkout desde el carrito)</t>
  </si>
  <si>
    <t>T-B11-3</t>
  </si>
  <si>
    <t>Conectar historial real con Recomendaciones</t>
  </si>
  <si>
    <t>Hito 2: recomendaciones lee el historial real</t>
  </si>
  <si>
    <t>T-B12-1</t>
  </si>
  <si>
    <t>Pagos</t>
  </si>
  <si>
    <t>HU-012</t>
  </si>
  <si>
    <t>Evaluar pasarela de pago a integrar</t>
  </si>
  <si>
    <t>pagos</t>
  </si>
  <si>
    <t>T-B12-2</t>
  </si>
  <si>
    <t>Endpoint de confirmación de pago</t>
  </si>
  <si>
    <t>Hito 2: POST /pagos con pasarela dummy</t>
  </si>
  <si>
    <t>T-B13-1</t>
  </si>
  <si>
    <t>Ofertas y Precios</t>
  </si>
  <si>
    <t>HU-013</t>
  </si>
  <si>
    <t>Modelar descuentos y vigencia en Libro</t>
  </si>
  <si>
    <t>T-B13-2</t>
  </si>
  <si>
    <t>Endpoint de libros en oferta</t>
  </si>
  <si>
    <t>T-B14-1</t>
  </si>
  <si>
    <t>Newsletter</t>
  </si>
  <si>
    <t>HU-014</t>
  </si>
  <si>
    <t>Modelar suscripción de usuario</t>
  </si>
  <si>
    <t>T-B14-2</t>
  </si>
  <si>
    <t>Endpoint de suscripción / desuscripción</t>
  </si>
  <si>
    <t>T-B15-1</t>
  </si>
  <si>
    <t>Descubrimiento (Novedades/Ranking)</t>
  </si>
  <si>
    <t>HU-015</t>
  </si>
  <si>
    <t>Campo fechaIngresoCatalogo en Libro</t>
  </si>
  <si>
    <t>Hito 2: columna fecha_ingreso</t>
  </si>
  <si>
    <t>T-B15-2</t>
  </si>
  <si>
    <t>Endpoint de novedades ordenadas por fecha</t>
  </si>
  <si>
    <t>Hito 2: GET /libros?orden=novedades</t>
  </si>
  <si>
    <t>T-B15-3</t>
  </si>
  <si>
    <t>Endpoint de ranking / top ventas</t>
  </si>
  <si>
    <t>T-B16-1</t>
  </si>
  <si>
    <t>Comunidad (Discusiones/Podcast)</t>
  </si>
  <si>
    <t>HU-016</t>
  </si>
  <si>
    <t>Modelar foro general de discusiones</t>
  </si>
  <si>
    <t>comunidad</t>
  </si>
  <si>
    <t>T-B16-2</t>
  </si>
  <si>
    <t>Modelar contenido de podcast</t>
  </si>
  <si>
    <t>T-B17-1</t>
  </si>
  <si>
    <t>Mi Biblioteca (Favoritos/Leídos)</t>
  </si>
  <si>
    <t>HU-017</t>
  </si>
  <si>
    <t>Modelar entidad Favorito</t>
  </si>
  <si>
    <t>Distinto de Lista de Deseos</t>
  </si>
  <si>
    <t>T-B17-2</t>
  </si>
  <si>
    <t>Modelar registro general de lectura</t>
  </si>
  <si>
    <t>Origen: Card Sorting</t>
  </si>
  <si>
    <t>T-B07-6</t>
  </si>
  <si>
    <t>Contraseñas con bcrypt y rutas /auth/registro, /auth/login, /auth/me</t>
  </si>
  <si>
    <t>auth</t>
  </si>
  <si>
    <t>Hito 2</t>
  </si>
  <si>
    <t>T-B07-7</t>
  </si>
  <si>
    <t>Restringir /usuarios al dueño de la cuenta o ADMIN</t>
  </si>
  <si>
    <t>T-B11-4</t>
  </si>
  <si>
    <t>Checkout transaccional: reserva de stock y copia de precios</t>
  </si>
  <si>
    <t>T-B11-5</t>
  </si>
  <si>
    <t>Historial, detalle y cancelación con devolución de stock</t>
  </si>
  <si>
    <t>T-B12-3</t>
  </si>
  <si>
    <t>Reglas dummy de aprobación/rechazo y registro de intentos</t>
  </si>
  <si>
    <t>Hito 2: ver docs/servicios.md</t>
  </si>
  <si>
    <t>T-B18-1</t>
  </si>
  <si>
    <t>Carrito</t>
  </si>
  <si>
    <t>HU-018</t>
  </si>
  <si>
    <t>Modelar carrito_items en PostgreSQL</t>
  </si>
  <si>
    <t>carrito</t>
  </si>
  <si>
    <t>Hito 2: HU por crear en el tablero</t>
  </si>
  <si>
    <t>T-B18-2</t>
  </si>
  <si>
    <t>Endpoints ver, agregar, modificar, quitar y vaciar</t>
  </si>
  <si>
    <t>T-B18-3</t>
  </si>
  <si>
    <t>Validar stock y máximo de 10 unidades por libro</t>
  </si>
  <si>
    <t>T-B19-1</t>
  </si>
  <si>
    <t>Envío y Seguimiento</t>
  </si>
  <si>
    <t>HU-019</t>
  </si>
  <si>
    <t>Cotización de envío dummy por zona, monto y cobertura</t>
  </si>
  <si>
    <t>envios</t>
  </si>
  <si>
    <t>T-B19-2</t>
  </si>
  <si>
    <t>Seguimiento dummy con línea de tiempo desde el pago</t>
  </si>
  <si>
    <t>seguimiento</t>
  </si>
  <si>
    <t>T-B19-3</t>
  </si>
  <si>
    <t>Integrar courier real para costo y seguimiento</t>
  </si>
  <si>
    <t>Hito 3 o posterior</t>
  </si>
  <si>
    <t>T-B20-1</t>
  </si>
  <si>
    <t>Trazabilidad y Errores</t>
  </si>
  <si>
    <t>Generar id de request y devolverlo en x-request-id</t>
  </si>
  <si>
    <t>T-B20-2</t>
  </si>
  <si>
    <t>Logs de entrada y salida con tiempo de ejecución y código</t>
  </si>
  <si>
    <t>Hito 2: oculta contraseñas y tarjetas</t>
  </si>
  <si>
    <t>T-B20-3</t>
  </si>
  <si>
    <t>Errores personalizados y filtro global de excepciones</t>
  </si>
  <si>
    <t>T-B20-4</t>
  </si>
  <si>
    <t>Pipes de validación (ValidationPipe global, UuidPipe)</t>
  </si>
  <si>
    <t>T-B20-5</t>
  </si>
  <si>
    <t>Documentar DTO, validaciones y errores en Swagger</t>
  </si>
  <si>
    <t>T-B21-1</t>
  </si>
  <si>
    <t>Base de Datos</t>
  </si>
  <si>
    <t>Diseñar modelo de datos y diagrama entidad-relación</t>
  </si>
  <si>
    <t>Hito 2: docs/modelo-datos.md</t>
  </si>
  <si>
    <t>T-B21-2</t>
  </si>
  <si>
    <t>Scripts SQL de estructura y datos de prueba</t>
  </si>
  <si>
    <t>Hito 2: db/01-schema.sql y db/02-seed.sql</t>
  </si>
  <si>
    <t>T-B21-3</t>
  </si>
  <si>
    <t>Migrar usuarios y libros de memoria a PostgreSQL (TypeORM)</t>
  </si>
  <si>
    <t>T-B21-4</t>
  </si>
  <si>
    <t>Migrar reseñas, listas, libreros y club a PostgreSQL</t>
  </si>
  <si>
    <t>Hito 3: hoy en memoria, contrato congelado</t>
  </si>
  <si>
    <t>T-B22-1</t>
  </si>
  <si>
    <t>Docker y Despliegue</t>
  </si>
  <si>
    <t>Identificar, documentar y validar variables de entorno</t>
  </si>
  <si>
    <t>Hito 2: .env.example</t>
  </si>
  <si>
    <t>T-B22-2</t>
  </si>
  <si>
    <t>Dockerfile y docker-compose (API + PostgreSQL)</t>
  </si>
  <si>
    <t>In progress</t>
  </si>
  <si>
    <t>Escritos; falta la primera construcción</t>
  </si>
  <si>
    <t>T-B22-3</t>
  </si>
  <si>
    <t>Desplegar API y base de datos en el servidor en la nube</t>
  </si>
  <si>
    <t>Ready</t>
  </si>
  <si>
    <t>Pasos en docs/despliegue.md</t>
  </si>
  <si>
    <t>T-B22-4</t>
  </si>
  <si>
    <t>Actualizar README y documentación de servicios</t>
  </si>
  <si>
    <t>T-B22-5</t>
  </si>
  <si>
    <t>Pruebas e2e del flujo de compra completo</t>
  </si>
  <si>
    <t>Hito 2: 23 pruebas</t>
  </si>
  <si>
    <t>T-B22-6</t>
  </si>
  <si>
    <t>Publicar tag hito-2 y registrar el hash del commit</t>
  </si>
  <si>
    <t>T-B22-7</t>
  </si>
  <si>
    <t>HTTPS con dominio y proxy inverso</t>
  </si>
  <si>
    <t>Hito 3</t>
  </si>
  <si>
    <t>T-B23-1</t>
  </si>
  <si>
    <t>Integración Web y Mobile</t>
  </si>
  <si>
    <t>Revisar con Frontend y Mobile los cambios de contrato</t>
  </si>
  <si>
    <t>Lista en docs/servicios.md, sección 5</t>
  </si>
  <si>
    <t>T-B23-2</t>
  </si>
  <si>
    <t>Entregar URL base, Swagger y cuentas de prueba</t>
  </si>
  <si>
    <t>Depende de T-B22-3</t>
  </si>
  <si>
    <t>Resumen del Backlog — Backend LeeConNos</t>
  </si>
  <si>
    <t>Distribución por Estado</t>
  </si>
  <si>
    <t>Cantidad de tareas</t>
  </si>
  <si>
    <t>No Status</t>
  </si>
  <si>
    <t>Total</t>
  </si>
  <si>
    <t>Distribución por Épica</t>
  </si>
  <si>
    <t>Cómo usar este backlog</t>
  </si>
  <si>
    <t>•</t>
  </si>
  <si>
    <t>Esta planilla lista las tareas Backend identificadas en los Hitos 1 y 2 de LeeConNos.</t>
  </si>
  <si>
    <t>Completa la columna "Responsable" (resaltada en amarillo) con el nombre de quien ejecuta cada tarea.</t>
  </si>
  <si>
    <t>Actualiza "Estado" a medida que el trabajo avance, usando los mismos valores del tablero Kanban del equipo.</t>
  </si>
  <si>
    <t>Las filas en "Done" corresponden a servicios ya construidos y probados en el proyecto backend.</t>
  </si>
  <si>
    <t>Las filas en "Backlog" son sistemas identificados pero no implementados aún, o planificados para el siguiente hito.</t>
  </si>
  <si>
    <t>Bloquea otras tareas o es parte del esfuerzo diferencial del proyecto</t>
  </si>
  <si>
    <t>Necesaria para completar la funcionalidad, no bloqueante</t>
  </si>
  <si>
    <t>Mejora o extensión, puede esperar a hitos posteriores</t>
  </si>
  <si>
    <t>Sin triage todavía</t>
  </si>
  <si>
    <t>Identificada, trabajo aún no iniciado</t>
  </si>
  <si>
    <t>Lista para comenzar</t>
  </si>
  <si>
    <t>Trabajo en curso</t>
  </si>
  <si>
    <t>En revisión (Pull Request abierto)</t>
  </si>
  <si>
    <t>Construida, probada y documentada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</si>
</sst>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harset val="1"/>
      <color rgb="FFFFFFFF"/>
      <sz val="10"/>
      <name val="Arial"/>
    </font>
    <font>
      <charset val="1"/>
      <color rgb="FF1B1B2A"/>
      <sz val="10"/>
      <name val="Arial"/>
    </font>
    <font>
      <b/>
      <charset val="1"/>
      <color rgb="FF1E2761"/>
      <sz val="14"/>
      <name val="Arial"/>
    </font>
    <font>
      <b/>
      <charset val="1"/>
      <color rgb="FF1E2761"/>
      <sz val="11"/>
      <name val="Arial"/>
    </font>
    <font>
      <charset val="1"/>
      <sz val="10"/>
      <name val="Arial"/>
    </font>
    <font>
      <b/>
      <charset val="1"/>
      <sz val="10"/>
      <name val="Arial"/>
    </font>
    <font>
      <b/>
      <charset val="1"/>
      <color rgb="FF1E2761"/>
      <sz val="10"/>
      <name val="Arial"/>
    </font>
  </fonts>
  <fills count="14">
    <fill>
      <patternFill patternType="none"/>
    </fill>
    <fill>
      <patternFill patternType="gray125"/>
    </fill>
    <fill>
      <patternFill patternType="solid">
        <fgColor rgb="FF1E2761"/>
        <bgColor rgb="FF1B1B2A"/>
      </patternFill>
    </fill>
    <fill>
      <patternFill patternType="solid">
        <fgColor rgb="FFF4F6FC"/>
        <bgColor rgb="FFF9F9F9"/>
      </patternFill>
    </fill>
    <fill>
      <patternFill patternType="solid">
        <fgColor rgb="FFFFF6DC"/>
        <bgColor rgb="FFFCF3CF"/>
      </patternFill>
    </fill>
    <fill>
      <patternFill patternType="solid">
        <fgColor rgb="FFFADBD8"/>
        <bgColor rgb="FFFDE9C8"/>
      </patternFill>
    </fill>
    <fill>
      <patternFill patternType="solid">
        <fgColor rgb="FFFCF3CF"/>
        <bgColor rgb="FFFFF6DC"/>
      </patternFill>
    </fill>
    <fill>
      <patternFill patternType="solid">
        <fgColor rgb="FFEAECEE"/>
        <bgColor rgb="FFE8E8E8"/>
      </patternFill>
    </fill>
    <fill>
      <patternFill patternType="solid">
        <fgColor rgb="FFFFFFFF"/>
        <bgColor rgb="FFF9F9F9"/>
      </patternFill>
    </fill>
    <fill>
      <patternFill patternType="solid">
        <fgColor rgb="FFE8E8E8"/>
        <bgColor rgb="FFEAECEE"/>
      </patternFill>
    </fill>
    <fill>
      <patternFill patternType="solid">
        <fgColor rgb="FFD6E4F7"/>
        <bgColor rgb="FFD9DCE6"/>
      </patternFill>
    </fill>
    <fill>
      <patternFill patternType="solid">
        <fgColor rgb="FFFDE9C8"/>
        <bgColor rgb="FFFCF3CF"/>
      </patternFill>
    </fill>
    <fill>
      <patternFill patternType="solid">
        <fgColor rgb="FFE4D6F5"/>
        <bgColor rgb="FFD9DCE6"/>
      </patternFill>
    </fill>
    <fill>
      <patternFill patternType="solid">
        <fgColor rgb="FFC6EFCE"/>
        <bgColor rgb="FFD6E4F7"/>
      </patternFill>
    </fill>
  </fills>
  <borders count="2">
    <border>
      <left/>
      <right/>
      <top/>
      <bottom/>
      <diagonal/>
    </border>
    <border>
      <left style="thin">
        <color rgb="FFD9DCE6"/>
      </left>
      <right style="thin">
        <color rgb="FFD9DCE6"/>
      </right>
      <top style="thin">
        <color rgb="FFD9DCE6"/>
      </top>
      <bottom style="thin">
        <color rgb="FFD9DCE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bottom"/>
    </xf>
    <xf numFmtId="0" fontId="4" fillId="0" borderId="0" xfId="0" applyFont="1" applyAlignment="1">
      <alignment vertical="bottom"/>
    </xf>
    <xf numFmtId="0" fontId="1" fillId="2" borderId="0" xfId="0" applyFont="1" applyFill="1" applyAlignment="1">
      <alignment vertical="bottom"/>
    </xf>
    <xf numFmtId="0" fontId="5" fillId="0" borderId="0" xfId="0" applyFont="1" applyAlignment="1">
      <alignment vertical="bottom"/>
    </xf>
    <xf numFmtId="0" fontId="5" fillId="0" borderId="0" xfId="0" applyFont="1" applyAlignment="1">
      <alignment horizontal="center" vertical="bottom"/>
    </xf>
    <xf numFmtId="0" fontId="6" fillId="0" borderId="0" xfId="0" applyFont="1" applyAlignment="1">
      <alignment vertical="bottom"/>
    </xf>
    <xf numFmtId="0" fontId="7" fillId="0" borderId="0" xfId="0" applyFont="1" applyAlignment="1">
      <alignment vertical="bottom"/>
    </xf>
    <xf numFmtId="0" fontId="5" fillId="0" borderId="0" xfId="0" applyFont="1" applyAlignment="1">
      <alignment vertical="center" wrapText="1"/>
    </xf>
    <xf numFmtId="0" fontId="6" fillId="5" borderId="0" xfId="0" applyFont="1" applyFill="1" applyAlignment="1">
      <alignment vertical="bottom"/>
    </xf>
    <xf numFmtId="0" fontId="6" fillId="6" borderId="0" xfId="0" applyFont="1" applyFill="1" applyAlignment="1">
      <alignment vertical="bottom"/>
    </xf>
    <xf numFmtId="0" fontId="6" fillId="7" borderId="0" xfId="0" applyFont="1" applyFill="1" applyAlignment="1">
      <alignment vertical="bottom"/>
    </xf>
    <xf numFmtId="0" fontId="6" fillId="8" borderId="0" xfId="0" applyFont="1" applyFill="1" applyAlignment="1">
      <alignment vertical="bottom"/>
    </xf>
    <xf numFmtId="0" fontId="6" fillId="9" borderId="0" xfId="0" applyFont="1" applyFill="1" applyAlignment="1">
      <alignment vertical="bottom"/>
    </xf>
    <xf numFmtId="0" fontId="6" fillId="10" borderId="0" xfId="0" applyFont="1" applyFill="1" applyAlignment="1">
      <alignment vertical="bottom"/>
    </xf>
    <xf numFmtId="0" fontId="6" fillId="11" borderId="0" xfId="0" applyFont="1" applyFill="1" applyAlignment="1">
      <alignment vertical="bottom"/>
    </xf>
    <xf numFmtId="0" fontId="6" fillId="12" borderId="0" xfId="0" applyFont="1" applyFill="1" applyAlignment="1">
      <alignment vertical="bottom"/>
    </xf>
    <xf numFmtId="0" fontId="6" fillId="13" borderId="0" xfId="0" applyFont="1" applyFill="1" applyAlignment="1">
      <alignment vertical="bottom"/>
    </xf>
  </cellXfs>
  <cellStyles count="1">
    <cellStyle name="Normal" xfId="0" builtinId="0"/>
  </cellStyles>
  <dxfs count="8">
    <dxf>
      <fill>
        <patternFill>
          <bgColor rgb="FFC6EFCE"/>
        </patternFill>
      </fill>
    </dxf>
    <dxf>
      <fill>
        <patternFill>
          <bgColor rgb="FFE4D6F5"/>
        </patternFill>
      </fill>
    </dxf>
    <dxf>
      <fill>
        <patternFill>
          <bgColor rgb="FFFDE9C8"/>
        </patternFill>
      </fill>
    </dxf>
    <dxf>
      <fill>
        <patternFill>
          <bgColor rgb="FFD6E4F7"/>
        </patternFill>
      </fill>
    </dxf>
    <dxf>
      <fill>
        <patternFill>
          <bgColor rgb="FFE8E8E8"/>
        </patternFill>
      </fill>
    </dxf>
    <dxf>
      <fill>
        <patternFill>
          <bgColor rgb="FFFADBD8"/>
        </patternFill>
      </fill>
    </dxf>
    <dxf>
      <fill>
        <patternFill>
          <bgColor rgb="FFFCF3CF"/>
        </patternFill>
      </fill>
    </dxf>
    <dxf>
      <fill>
        <patternFill>
          <bgColor rgb="FFEAEC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BacklogBackend" displayName="BacklogBackend" ref="A1:I89" totalsRowShown="1" headerRowCount="1">
  <autoFilter ref="A1:I8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ID"/>
    <tableColumn id="2" name="Épica"/>
    <tableColumn id="3" name="HU"/>
    <tableColumn id="4" name="Tarea Backend"/>
    <tableColumn id="5" name="Prioridad"/>
    <tableColumn id="6" name="Módulo"/>
    <tableColumn id="7" name="Responsable"/>
    <tableColumn id="8" name="Estado"/>
    <tableColumn id="9" name="Notas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9"/>
  <sheetViews>
    <sheetView workbookViewId="0" zoomScale="100" zoomScaleNormal="100" view="normal">
      <pane ySplit="1" topLeftCell="A2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10" customWidth="1"/>
    <col min="2" max="2" width="26" customWidth="1"/>
    <col min="3" max="3" width="8" customWidth="1"/>
    <col min="4" max="4" width="42" customWidth="1"/>
    <col min="6" max="7" width="16" customWidth="1"/>
    <col min="8" max="8" width="12" customWidth="1"/>
    <col min="9" max="9" width="30" customWidth="1"/>
  </cols>
  <sheetData>
    <row r="1" ht="27.75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3.85" customHeight="1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/>
      <c r="H2" s="2" t="s">
        <v>15</v>
      </c>
      <c r="I2" s="2" t="s">
        <v>16</v>
      </c>
    </row>
    <row r="3" ht="15" customHeight="1" spans="1:9" x14ac:dyDescent="0.25">
      <c r="A3" s="4" t="s">
        <v>17</v>
      </c>
      <c r="B3" s="4" t="s">
        <v>10</v>
      </c>
      <c r="C3" s="4" t="s">
        <v>11</v>
      </c>
      <c r="D3" s="4" t="s">
        <v>18</v>
      </c>
      <c r="E3" s="4" t="s">
        <v>13</v>
      </c>
      <c r="F3" s="4" t="s">
        <v>14</v>
      </c>
      <c r="G3" s="3"/>
      <c r="H3" s="4" t="s">
        <v>15</v>
      </c>
      <c r="I3" s="4"/>
    </row>
    <row r="4" ht="15" customHeight="1" spans="1:9" x14ac:dyDescent="0.25">
      <c r="A4" s="2" t="s">
        <v>19</v>
      </c>
      <c r="B4" s="2" t="s">
        <v>10</v>
      </c>
      <c r="C4" s="2" t="s">
        <v>11</v>
      </c>
      <c r="D4" s="2" t="s">
        <v>20</v>
      </c>
      <c r="E4" s="2" t="s">
        <v>13</v>
      </c>
      <c r="F4" s="2" t="s">
        <v>14</v>
      </c>
      <c r="G4" s="3"/>
      <c r="H4" s="2" t="s">
        <v>15</v>
      </c>
      <c r="I4" s="2" t="s">
        <v>21</v>
      </c>
    </row>
    <row r="5" ht="15" customHeight="1" spans="1:9" x14ac:dyDescent="0.25">
      <c r="A5" s="4" t="s">
        <v>22</v>
      </c>
      <c r="B5" s="4" t="s">
        <v>10</v>
      </c>
      <c r="C5" s="4" t="s">
        <v>11</v>
      </c>
      <c r="D5" s="4" t="s">
        <v>23</v>
      </c>
      <c r="E5" s="4" t="s">
        <v>24</v>
      </c>
      <c r="F5" s="4" t="s">
        <v>14</v>
      </c>
      <c r="G5" s="3"/>
      <c r="H5" s="4" t="s">
        <v>15</v>
      </c>
      <c r="I5" s="4"/>
    </row>
    <row r="6" ht="15" customHeight="1" spans="1:9" x14ac:dyDescent="0.25">
      <c r="A6" s="2" t="s">
        <v>25</v>
      </c>
      <c r="B6" s="2" t="s">
        <v>10</v>
      </c>
      <c r="C6" s="2" t="s">
        <v>11</v>
      </c>
      <c r="D6" s="2" t="s">
        <v>26</v>
      </c>
      <c r="E6" s="2" t="s">
        <v>24</v>
      </c>
      <c r="F6" s="2" t="s">
        <v>14</v>
      </c>
      <c r="G6" s="3"/>
      <c r="H6" s="2" t="s">
        <v>15</v>
      </c>
      <c r="I6" s="2"/>
    </row>
    <row r="7" ht="15" customHeight="1" spans="1:9" x14ac:dyDescent="0.25">
      <c r="A7" s="4" t="s">
        <v>27</v>
      </c>
      <c r="B7" s="4" t="s">
        <v>10</v>
      </c>
      <c r="C7" s="4" t="s">
        <v>11</v>
      </c>
      <c r="D7" s="4" t="s">
        <v>28</v>
      </c>
      <c r="E7" s="4" t="s">
        <v>13</v>
      </c>
      <c r="F7" s="4" t="s">
        <v>14</v>
      </c>
      <c r="G7" s="3"/>
      <c r="H7" s="4" t="s">
        <v>29</v>
      </c>
      <c r="I7" s="4" t="s">
        <v>30</v>
      </c>
    </row>
    <row r="8" ht="15" customHeight="1" spans="1:9" x14ac:dyDescent="0.25">
      <c r="A8" s="2" t="s">
        <v>31</v>
      </c>
      <c r="B8" s="2" t="s">
        <v>32</v>
      </c>
      <c r="C8" s="2" t="s">
        <v>33</v>
      </c>
      <c r="D8" s="2" t="s">
        <v>34</v>
      </c>
      <c r="E8" s="2" t="s">
        <v>13</v>
      </c>
      <c r="F8" s="2" t="s">
        <v>35</v>
      </c>
      <c r="G8" s="3"/>
      <c r="H8" s="2" t="s">
        <v>15</v>
      </c>
      <c r="I8" s="2"/>
    </row>
    <row r="9" ht="15" customHeight="1" spans="1:9" x14ac:dyDescent="0.25">
      <c r="A9" s="4" t="s">
        <v>36</v>
      </c>
      <c r="B9" s="4" t="s">
        <v>32</v>
      </c>
      <c r="C9" s="4" t="s">
        <v>33</v>
      </c>
      <c r="D9" s="4" t="s">
        <v>37</v>
      </c>
      <c r="E9" s="4" t="s">
        <v>13</v>
      </c>
      <c r="F9" s="4" t="s">
        <v>35</v>
      </c>
      <c r="G9" s="3"/>
      <c r="H9" s="4" t="s">
        <v>15</v>
      </c>
      <c r="I9" s="4"/>
    </row>
    <row r="10" ht="15" customHeight="1" spans="1:9" x14ac:dyDescent="0.25">
      <c r="A10" s="2" t="s">
        <v>38</v>
      </c>
      <c r="B10" s="2" t="s">
        <v>32</v>
      </c>
      <c r="C10" s="2" t="s">
        <v>33</v>
      </c>
      <c r="D10" s="2" t="s">
        <v>39</v>
      </c>
      <c r="E10" s="2" t="s">
        <v>13</v>
      </c>
      <c r="F10" s="2" t="s">
        <v>35</v>
      </c>
      <c r="G10" s="3"/>
      <c r="H10" s="2" t="s">
        <v>15</v>
      </c>
      <c r="I10" s="2"/>
    </row>
    <row r="11" ht="15" customHeight="1" spans="1:9" x14ac:dyDescent="0.25">
      <c r="A11" s="4" t="s">
        <v>40</v>
      </c>
      <c r="B11" s="4" t="s">
        <v>32</v>
      </c>
      <c r="C11" s="4" t="s">
        <v>33</v>
      </c>
      <c r="D11" s="4" t="s">
        <v>41</v>
      </c>
      <c r="E11" s="4" t="s">
        <v>24</v>
      </c>
      <c r="F11" s="4" t="s">
        <v>35</v>
      </c>
      <c r="G11" s="3"/>
      <c r="H11" s="4" t="s">
        <v>15</v>
      </c>
      <c r="I11" s="4"/>
    </row>
    <row r="12" ht="15" customHeight="1" spans="1:9" x14ac:dyDescent="0.25">
      <c r="A12" s="2" t="s">
        <v>42</v>
      </c>
      <c r="B12" s="2" t="s">
        <v>32</v>
      </c>
      <c r="C12" s="2" t="s">
        <v>33</v>
      </c>
      <c r="D12" s="2" t="s">
        <v>43</v>
      </c>
      <c r="E12" s="2" t="s">
        <v>13</v>
      </c>
      <c r="F12" s="2" t="s">
        <v>35</v>
      </c>
      <c r="G12" s="3"/>
      <c r="H12" s="2" t="s">
        <v>15</v>
      </c>
      <c r="I12" s="2" t="s">
        <v>44</v>
      </c>
    </row>
    <row r="13" ht="15" customHeight="1" spans="1:9" x14ac:dyDescent="0.25">
      <c r="A13" s="4" t="s">
        <v>45</v>
      </c>
      <c r="B13" s="4" t="s">
        <v>32</v>
      </c>
      <c r="C13" s="4" t="s">
        <v>33</v>
      </c>
      <c r="D13" s="4" t="s">
        <v>46</v>
      </c>
      <c r="E13" s="4" t="s">
        <v>24</v>
      </c>
      <c r="F13" s="4" t="s">
        <v>35</v>
      </c>
      <c r="G13" s="3"/>
      <c r="H13" s="4" t="s">
        <v>15</v>
      </c>
      <c r="I13" s="4" t="s">
        <v>47</v>
      </c>
    </row>
    <row r="14" ht="15" customHeight="1" spans="1:9" x14ac:dyDescent="0.25">
      <c r="A14" s="2" t="s">
        <v>48</v>
      </c>
      <c r="B14" s="2" t="s">
        <v>32</v>
      </c>
      <c r="C14" s="2" t="s">
        <v>49</v>
      </c>
      <c r="D14" s="2" t="s">
        <v>50</v>
      </c>
      <c r="E14" s="2" t="s">
        <v>13</v>
      </c>
      <c r="F14" s="2" t="s">
        <v>35</v>
      </c>
      <c r="G14" s="3"/>
      <c r="H14" s="2" t="s">
        <v>15</v>
      </c>
      <c r="I14" s="2"/>
    </row>
    <row r="15" ht="15" customHeight="1" spans="1:9" x14ac:dyDescent="0.25">
      <c r="A15" s="4" t="s">
        <v>51</v>
      </c>
      <c r="B15" s="4" t="s">
        <v>32</v>
      </c>
      <c r="C15" s="4" t="s">
        <v>49</v>
      </c>
      <c r="D15" s="4" t="s">
        <v>52</v>
      </c>
      <c r="E15" s="4" t="s">
        <v>24</v>
      </c>
      <c r="F15" s="4" t="s">
        <v>35</v>
      </c>
      <c r="G15" s="3"/>
      <c r="H15" s="4" t="s">
        <v>15</v>
      </c>
      <c r="I15" s="4"/>
    </row>
    <row r="16" ht="15" customHeight="1" spans="1:9" x14ac:dyDescent="0.25">
      <c r="A16" s="2" t="s">
        <v>53</v>
      </c>
      <c r="B16" s="2" t="s">
        <v>32</v>
      </c>
      <c r="C16" s="2" t="s">
        <v>49</v>
      </c>
      <c r="D16" s="2" t="s">
        <v>54</v>
      </c>
      <c r="E16" s="2" t="s">
        <v>24</v>
      </c>
      <c r="F16" s="2" t="s">
        <v>35</v>
      </c>
      <c r="G16" s="3"/>
      <c r="H16" s="2" t="s">
        <v>55</v>
      </c>
      <c r="I16" s="2" t="s">
        <v>56</v>
      </c>
    </row>
    <row r="17" ht="15" customHeight="1" spans="1:9" x14ac:dyDescent="0.25">
      <c r="A17" s="4" t="s">
        <v>57</v>
      </c>
      <c r="B17" s="4" t="s">
        <v>32</v>
      </c>
      <c r="C17" s="4" t="s">
        <v>58</v>
      </c>
      <c r="D17" s="4" t="s">
        <v>59</v>
      </c>
      <c r="E17" s="4" t="s">
        <v>24</v>
      </c>
      <c r="F17" s="4" t="s">
        <v>35</v>
      </c>
      <c r="G17" s="3"/>
      <c r="H17" s="4" t="s">
        <v>29</v>
      </c>
      <c r="I17" s="4"/>
    </row>
    <row r="18" ht="15" customHeight="1" spans="1:9" x14ac:dyDescent="0.25">
      <c r="A18" s="2" t="s">
        <v>60</v>
      </c>
      <c r="B18" s="2" t="s">
        <v>32</v>
      </c>
      <c r="C18" s="2" t="s">
        <v>58</v>
      </c>
      <c r="D18" s="2" t="s">
        <v>61</v>
      </c>
      <c r="E18" s="2" t="s">
        <v>62</v>
      </c>
      <c r="F18" s="2" t="s">
        <v>35</v>
      </c>
      <c r="G18" s="3"/>
      <c r="H18" s="2" t="s">
        <v>55</v>
      </c>
      <c r="I18" s="2" t="s">
        <v>63</v>
      </c>
    </row>
    <row r="19" ht="15" customHeight="1" spans="1:9" x14ac:dyDescent="0.25">
      <c r="A19" s="4" t="s">
        <v>64</v>
      </c>
      <c r="B19" s="4" t="s">
        <v>32</v>
      </c>
      <c r="C19" s="4" t="s">
        <v>65</v>
      </c>
      <c r="D19" s="4" t="s">
        <v>66</v>
      </c>
      <c r="E19" s="4" t="s">
        <v>24</v>
      </c>
      <c r="F19" s="4" t="s">
        <v>35</v>
      </c>
      <c r="G19" s="3"/>
      <c r="H19" s="4" t="s">
        <v>55</v>
      </c>
      <c r="I19" s="4" t="s">
        <v>67</v>
      </c>
    </row>
    <row r="20" ht="15" customHeight="1" spans="1:9" x14ac:dyDescent="0.25">
      <c r="A20" s="2" t="s">
        <v>68</v>
      </c>
      <c r="B20" s="2" t="s">
        <v>69</v>
      </c>
      <c r="C20" s="2" t="s">
        <v>70</v>
      </c>
      <c r="D20" s="2" t="s">
        <v>71</v>
      </c>
      <c r="E20" s="2" t="s">
        <v>13</v>
      </c>
      <c r="F20" s="2" t="s">
        <v>72</v>
      </c>
      <c r="G20" s="3"/>
      <c r="H20" s="2" t="s">
        <v>15</v>
      </c>
      <c r="I20" s="2" t="s">
        <v>73</v>
      </c>
    </row>
    <row r="21" ht="15" customHeight="1" spans="1:9" x14ac:dyDescent="0.25">
      <c r="A21" s="4" t="s">
        <v>74</v>
      </c>
      <c r="B21" s="4" t="s">
        <v>69</v>
      </c>
      <c r="C21" s="4" t="s">
        <v>70</v>
      </c>
      <c r="D21" s="4" t="s">
        <v>75</v>
      </c>
      <c r="E21" s="4" t="s">
        <v>13</v>
      </c>
      <c r="F21" s="4" t="s">
        <v>72</v>
      </c>
      <c r="G21" s="3"/>
      <c r="H21" s="4" t="s">
        <v>15</v>
      </c>
      <c r="I21" s="4" t="s">
        <v>73</v>
      </c>
    </row>
    <row r="22" ht="15" customHeight="1" spans="1:9" x14ac:dyDescent="0.25">
      <c r="A22" s="2" t="s">
        <v>76</v>
      </c>
      <c r="B22" s="2" t="s">
        <v>69</v>
      </c>
      <c r="C22" s="2" t="s">
        <v>70</v>
      </c>
      <c r="D22" s="2" t="s">
        <v>77</v>
      </c>
      <c r="E22" s="2" t="s">
        <v>24</v>
      </c>
      <c r="F22" s="2" t="s">
        <v>72</v>
      </c>
      <c r="G22" s="3"/>
      <c r="H22" s="2" t="s">
        <v>15</v>
      </c>
      <c r="I22" s="2"/>
    </row>
    <row r="23" ht="15" customHeight="1" spans="1:9" x14ac:dyDescent="0.25">
      <c r="A23" s="4" t="s">
        <v>78</v>
      </c>
      <c r="B23" s="4" t="s">
        <v>69</v>
      </c>
      <c r="C23" s="4" t="s">
        <v>70</v>
      </c>
      <c r="D23" s="4" t="s">
        <v>79</v>
      </c>
      <c r="E23" s="4" t="s">
        <v>13</v>
      </c>
      <c r="F23" s="4" t="s">
        <v>72</v>
      </c>
      <c r="G23" s="3"/>
      <c r="H23" s="4" t="s">
        <v>55</v>
      </c>
      <c r="I23" s="4" t="s">
        <v>80</v>
      </c>
    </row>
    <row r="24" ht="15" customHeight="1" spans="1:9" x14ac:dyDescent="0.25">
      <c r="A24" s="2" t="s">
        <v>81</v>
      </c>
      <c r="B24" s="2" t="s">
        <v>82</v>
      </c>
      <c r="C24" s="2" t="s">
        <v>83</v>
      </c>
      <c r="D24" s="2" t="s">
        <v>84</v>
      </c>
      <c r="E24" s="2" t="s">
        <v>13</v>
      </c>
      <c r="F24" s="2" t="s">
        <v>85</v>
      </c>
      <c r="G24" s="3"/>
      <c r="H24" s="2" t="s">
        <v>15</v>
      </c>
      <c r="I24" s="2"/>
    </row>
    <row r="25" ht="15" customHeight="1" spans="1:9" x14ac:dyDescent="0.25">
      <c r="A25" s="4" t="s">
        <v>86</v>
      </c>
      <c r="B25" s="4" t="s">
        <v>82</v>
      </c>
      <c r="C25" s="4" t="s">
        <v>83</v>
      </c>
      <c r="D25" s="4" t="s">
        <v>87</v>
      </c>
      <c r="E25" s="4" t="s">
        <v>13</v>
      </c>
      <c r="F25" s="4" t="s">
        <v>85</v>
      </c>
      <c r="G25" s="3"/>
      <c r="H25" s="4" t="s">
        <v>15</v>
      </c>
      <c r="I25" s="4"/>
    </row>
    <row r="26" ht="15" customHeight="1" spans="1:9" x14ac:dyDescent="0.25">
      <c r="A26" s="2" t="s">
        <v>88</v>
      </c>
      <c r="B26" s="2" t="s">
        <v>82</v>
      </c>
      <c r="C26" s="2" t="s">
        <v>83</v>
      </c>
      <c r="D26" s="2" t="s">
        <v>89</v>
      </c>
      <c r="E26" s="2" t="s">
        <v>13</v>
      </c>
      <c r="F26" s="2" t="s">
        <v>85</v>
      </c>
      <c r="G26" s="3"/>
      <c r="H26" s="2" t="s">
        <v>15</v>
      </c>
      <c r="I26" s="2"/>
    </row>
    <row r="27" ht="15" customHeight="1" spans="1:9" x14ac:dyDescent="0.25">
      <c r="A27" s="4" t="s">
        <v>90</v>
      </c>
      <c r="B27" s="4" t="s">
        <v>82</v>
      </c>
      <c r="C27" s="4" t="s">
        <v>83</v>
      </c>
      <c r="D27" s="4" t="s">
        <v>91</v>
      </c>
      <c r="E27" s="4" t="s">
        <v>24</v>
      </c>
      <c r="F27" s="4" t="s">
        <v>85</v>
      </c>
      <c r="G27" s="3"/>
      <c r="H27" s="4" t="s">
        <v>15</v>
      </c>
      <c r="I27" s="4"/>
    </row>
    <row r="28" ht="15" customHeight="1" spans="1:9" x14ac:dyDescent="0.25">
      <c r="A28" s="2" t="s">
        <v>92</v>
      </c>
      <c r="B28" s="2" t="s">
        <v>93</v>
      </c>
      <c r="C28" s="2" t="s">
        <v>94</v>
      </c>
      <c r="D28" s="2" t="s">
        <v>95</v>
      </c>
      <c r="E28" s="2" t="s">
        <v>13</v>
      </c>
      <c r="F28" s="2" t="s">
        <v>96</v>
      </c>
      <c r="G28" s="3"/>
      <c r="H28" s="2" t="s">
        <v>15</v>
      </c>
      <c r="I28" s="2"/>
    </row>
    <row r="29" ht="15" customHeight="1" spans="1:9" x14ac:dyDescent="0.25">
      <c r="A29" s="4" t="s">
        <v>97</v>
      </c>
      <c r="B29" s="4" t="s">
        <v>93</v>
      </c>
      <c r="C29" s="4" t="s">
        <v>94</v>
      </c>
      <c r="D29" s="4" t="s">
        <v>98</v>
      </c>
      <c r="E29" s="4" t="s">
        <v>13</v>
      </c>
      <c r="F29" s="4" t="s">
        <v>96</v>
      </c>
      <c r="G29" s="3"/>
      <c r="H29" s="4" t="s">
        <v>15</v>
      </c>
      <c r="I29" s="4"/>
    </row>
    <row r="30" ht="15" customHeight="1" spans="1:9" x14ac:dyDescent="0.25">
      <c r="A30" s="2" t="s">
        <v>99</v>
      </c>
      <c r="B30" s="2" t="s">
        <v>93</v>
      </c>
      <c r="C30" s="2" t="s">
        <v>94</v>
      </c>
      <c r="D30" s="2" t="s">
        <v>100</v>
      </c>
      <c r="E30" s="2" t="s">
        <v>13</v>
      </c>
      <c r="F30" s="2" t="s">
        <v>96</v>
      </c>
      <c r="G30" s="3"/>
      <c r="H30" s="2" t="s">
        <v>15</v>
      </c>
      <c r="I30" s="2" t="s">
        <v>101</v>
      </c>
    </row>
    <row r="31" ht="15" customHeight="1" spans="1:9" x14ac:dyDescent="0.25">
      <c r="A31" s="4" t="s">
        <v>102</v>
      </c>
      <c r="B31" s="4" t="s">
        <v>93</v>
      </c>
      <c r="C31" s="4" t="s">
        <v>94</v>
      </c>
      <c r="D31" s="4" t="s">
        <v>103</v>
      </c>
      <c r="E31" s="4" t="s">
        <v>13</v>
      </c>
      <c r="F31" s="4" t="s">
        <v>96</v>
      </c>
      <c r="G31" s="3"/>
      <c r="H31" s="4" t="s">
        <v>55</v>
      </c>
      <c r="I31" s="4" t="s">
        <v>104</v>
      </c>
    </row>
    <row r="32" ht="15" customHeight="1" spans="1:9" x14ac:dyDescent="0.25">
      <c r="A32" s="2" t="s">
        <v>105</v>
      </c>
      <c r="B32" s="2" t="s">
        <v>93</v>
      </c>
      <c r="C32" s="2" t="s">
        <v>94</v>
      </c>
      <c r="D32" s="2" t="s">
        <v>106</v>
      </c>
      <c r="E32" s="2" t="s">
        <v>24</v>
      </c>
      <c r="F32" s="2" t="s">
        <v>96</v>
      </c>
      <c r="G32" s="3"/>
      <c r="H32" s="2" t="s">
        <v>15</v>
      </c>
      <c r="I32" s="2" t="s">
        <v>47</v>
      </c>
    </row>
    <row r="33" ht="15" customHeight="1" spans="1:9" x14ac:dyDescent="0.25">
      <c r="A33" s="4" t="s">
        <v>107</v>
      </c>
      <c r="B33" s="4" t="s">
        <v>108</v>
      </c>
      <c r="C33" s="4" t="s">
        <v>109</v>
      </c>
      <c r="D33" s="4" t="s">
        <v>110</v>
      </c>
      <c r="E33" s="4" t="s">
        <v>13</v>
      </c>
      <c r="F33" s="4" t="s">
        <v>111</v>
      </c>
      <c r="G33" s="3"/>
      <c r="H33" s="4" t="s">
        <v>15</v>
      </c>
      <c r="I33" s="4" t="s">
        <v>73</v>
      </c>
    </row>
    <row r="34" ht="15" customHeight="1" spans="1:9" x14ac:dyDescent="0.25">
      <c r="A34" s="2" t="s">
        <v>112</v>
      </c>
      <c r="B34" s="2" t="s">
        <v>108</v>
      </c>
      <c r="C34" s="2" t="s">
        <v>109</v>
      </c>
      <c r="D34" s="2" t="s">
        <v>113</v>
      </c>
      <c r="E34" s="2" t="s">
        <v>13</v>
      </c>
      <c r="F34" s="2" t="s">
        <v>111</v>
      </c>
      <c r="G34" s="3"/>
      <c r="H34" s="2" t="s">
        <v>15</v>
      </c>
      <c r="I34" s="2" t="s">
        <v>73</v>
      </c>
    </row>
    <row r="35" ht="15" customHeight="1" spans="1:9" x14ac:dyDescent="0.25">
      <c r="A35" s="4" t="s">
        <v>114</v>
      </c>
      <c r="B35" s="4" t="s">
        <v>108</v>
      </c>
      <c r="C35" s="4" t="s">
        <v>109</v>
      </c>
      <c r="D35" s="4" t="s">
        <v>115</v>
      </c>
      <c r="E35" s="4" t="s">
        <v>13</v>
      </c>
      <c r="F35" s="4" t="s">
        <v>111</v>
      </c>
      <c r="G35" s="3"/>
      <c r="H35" s="4" t="s">
        <v>15</v>
      </c>
      <c r="I35" s="4" t="s">
        <v>73</v>
      </c>
    </row>
    <row r="36" ht="15" customHeight="1" spans="1:9" x14ac:dyDescent="0.25">
      <c r="A36" s="2" t="s">
        <v>116</v>
      </c>
      <c r="B36" s="2" t="s">
        <v>108</v>
      </c>
      <c r="C36" s="2" t="s">
        <v>109</v>
      </c>
      <c r="D36" s="2" t="s">
        <v>117</v>
      </c>
      <c r="E36" s="2" t="s">
        <v>24</v>
      </c>
      <c r="F36" s="2" t="s">
        <v>111</v>
      </c>
      <c r="G36" s="3"/>
      <c r="H36" s="2" t="s">
        <v>15</v>
      </c>
      <c r="I36" s="2" t="s">
        <v>73</v>
      </c>
    </row>
    <row r="37" ht="15" customHeight="1" spans="1:9" x14ac:dyDescent="0.25">
      <c r="A37" s="4" t="s">
        <v>118</v>
      </c>
      <c r="B37" s="4" t="s">
        <v>119</v>
      </c>
      <c r="C37" s="4" t="s">
        <v>120</v>
      </c>
      <c r="D37" s="4" t="s">
        <v>121</v>
      </c>
      <c r="E37" s="4" t="s">
        <v>13</v>
      </c>
      <c r="F37" s="4" t="s">
        <v>122</v>
      </c>
      <c r="G37" s="3"/>
      <c r="H37" s="4" t="s">
        <v>15</v>
      </c>
      <c r="I37" s="4"/>
    </row>
    <row r="38" ht="15" customHeight="1" spans="1:9" x14ac:dyDescent="0.25">
      <c r="A38" s="2" t="s">
        <v>123</v>
      </c>
      <c r="B38" s="2" t="s">
        <v>119</v>
      </c>
      <c r="C38" s="2" t="s">
        <v>120</v>
      </c>
      <c r="D38" s="2" t="s">
        <v>124</v>
      </c>
      <c r="E38" s="2" t="s">
        <v>13</v>
      </c>
      <c r="F38" s="2" t="s">
        <v>122</v>
      </c>
      <c r="G38" s="3"/>
      <c r="H38" s="2" t="s">
        <v>15</v>
      </c>
      <c r="I38" s="2"/>
    </row>
    <row r="39" ht="15" customHeight="1" spans="1:9" x14ac:dyDescent="0.25">
      <c r="A39" s="4" t="s">
        <v>125</v>
      </c>
      <c r="B39" s="4" t="s">
        <v>119</v>
      </c>
      <c r="C39" s="4" t="s">
        <v>120</v>
      </c>
      <c r="D39" s="4" t="s">
        <v>126</v>
      </c>
      <c r="E39" s="4" t="s">
        <v>24</v>
      </c>
      <c r="F39" s="4" t="s">
        <v>122</v>
      </c>
      <c r="G39" s="3"/>
      <c r="H39" s="4" t="s">
        <v>15</v>
      </c>
      <c r="I39" s="4" t="s">
        <v>47</v>
      </c>
    </row>
    <row r="40" ht="15" customHeight="1" spans="1:9" x14ac:dyDescent="0.25">
      <c r="A40" s="2" t="s">
        <v>127</v>
      </c>
      <c r="B40" s="2" t="s">
        <v>119</v>
      </c>
      <c r="C40" s="2" t="s">
        <v>120</v>
      </c>
      <c r="D40" s="2" t="s">
        <v>128</v>
      </c>
      <c r="E40" s="2" t="s">
        <v>24</v>
      </c>
      <c r="F40" s="2" t="s">
        <v>122</v>
      </c>
      <c r="G40" s="3"/>
      <c r="H40" s="2" t="s">
        <v>29</v>
      </c>
      <c r="I40" s="2" t="s">
        <v>129</v>
      </c>
    </row>
    <row r="41" ht="15" customHeight="1" spans="1:9" x14ac:dyDescent="0.25">
      <c r="A41" s="4" t="s">
        <v>130</v>
      </c>
      <c r="B41" s="4" t="s">
        <v>131</v>
      </c>
      <c r="C41" s="4" t="s">
        <v>132</v>
      </c>
      <c r="D41" s="4" t="s">
        <v>133</v>
      </c>
      <c r="E41" s="4" t="s">
        <v>13</v>
      </c>
      <c r="F41" s="4" t="s">
        <v>134</v>
      </c>
      <c r="G41" s="3"/>
      <c r="H41" s="4" t="s">
        <v>15</v>
      </c>
      <c r="I41" s="4"/>
    </row>
    <row r="42" ht="15" customHeight="1" spans="1:9" x14ac:dyDescent="0.25">
      <c r="A42" s="2" t="s">
        <v>135</v>
      </c>
      <c r="B42" s="2" t="s">
        <v>131</v>
      </c>
      <c r="C42" s="2" t="s">
        <v>132</v>
      </c>
      <c r="D42" s="2" t="s">
        <v>136</v>
      </c>
      <c r="E42" s="2" t="s">
        <v>13</v>
      </c>
      <c r="F42" s="2" t="s">
        <v>134</v>
      </c>
      <c r="G42" s="3"/>
      <c r="H42" s="2" t="s">
        <v>15</v>
      </c>
      <c r="I42" s="2"/>
    </row>
    <row r="43" ht="15" customHeight="1" spans="1:9" x14ac:dyDescent="0.25">
      <c r="A43" s="4" t="s">
        <v>137</v>
      </c>
      <c r="B43" s="4" t="s">
        <v>131</v>
      </c>
      <c r="C43" s="4" t="s">
        <v>132</v>
      </c>
      <c r="D43" s="4" t="s">
        <v>138</v>
      </c>
      <c r="E43" s="4" t="s">
        <v>13</v>
      </c>
      <c r="F43" s="4" t="s">
        <v>134</v>
      </c>
      <c r="G43" s="3"/>
      <c r="H43" s="4" t="s">
        <v>15</v>
      </c>
      <c r="I43" s="4"/>
    </row>
    <row r="44" ht="15" customHeight="1" spans="1:9" x14ac:dyDescent="0.25">
      <c r="A44" s="2" t="s">
        <v>139</v>
      </c>
      <c r="B44" s="2" t="s">
        <v>131</v>
      </c>
      <c r="C44" s="2" t="s">
        <v>132</v>
      </c>
      <c r="D44" s="2" t="s">
        <v>140</v>
      </c>
      <c r="E44" s="2" t="s">
        <v>24</v>
      </c>
      <c r="F44" s="2" t="s">
        <v>134</v>
      </c>
      <c r="G44" s="3"/>
      <c r="H44" s="2" t="s">
        <v>15</v>
      </c>
      <c r="I44" s="2"/>
    </row>
    <row r="45" ht="23.85" customHeight="1" spans="1:9" x14ac:dyDescent="0.25">
      <c r="A45" s="4" t="s">
        <v>141</v>
      </c>
      <c r="B45" s="4" t="s">
        <v>142</v>
      </c>
      <c r="C45" s="4" t="s">
        <v>143</v>
      </c>
      <c r="D45" s="4" t="s">
        <v>144</v>
      </c>
      <c r="E45" s="4" t="s">
        <v>13</v>
      </c>
      <c r="F45" s="4" t="s">
        <v>145</v>
      </c>
      <c r="G45" s="3"/>
      <c r="H45" s="4" t="s">
        <v>55</v>
      </c>
      <c r="I45" s="4" t="s">
        <v>146</v>
      </c>
    </row>
    <row r="46" ht="15" customHeight="1" spans="1:9" x14ac:dyDescent="0.25">
      <c r="A46" s="2" t="s">
        <v>147</v>
      </c>
      <c r="B46" s="2" t="s">
        <v>142</v>
      </c>
      <c r="C46" s="2" t="s">
        <v>143</v>
      </c>
      <c r="D46" s="2" t="s">
        <v>148</v>
      </c>
      <c r="E46" s="2" t="s">
        <v>13</v>
      </c>
      <c r="F46" s="2" t="s">
        <v>145</v>
      </c>
      <c r="G46" s="3"/>
      <c r="H46" s="2" t="s">
        <v>55</v>
      </c>
      <c r="I46" s="2" t="s">
        <v>149</v>
      </c>
    </row>
    <row r="47" ht="15" customHeight="1" spans="1:9" x14ac:dyDescent="0.25">
      <c r="A47" s="4" t="s">
        <v>150</v>
      </c>
      <c r="B47" s="4" t="s">
        <v>142</v>
      </c>
      <c r="C47" s="4" t="s">
        <v>143</v>
      </c>
      <c r="D47" s="4" t="s">
        <v>151</v>
      </c>
      <c r="E47" s="4" t="s">
        <v>13</v>
      </c>
      <c r="F47" s="4" t="s">
        <v>145</v>
      </c>
      <c r="G47" s="3"/>
      <c r="H47" s="4" t="s">
        <v>55</v>
      </c>
      <c r="I47" s="4" t="s">
        <v>152</v>
      </c>
    </row>
    <row r="48" ht="15" customHeight="1" spans="1:9" x14ac:dyDescent="0.25">
      <c r="A48" s="2" t="s">
        <v>153</v>
      </c>
      <c r="B48" s="2" t="s">
        <v>154</v>
      </c>
      <c r="C48" s="2" t="s">
        <v>155</v>
      </c>
      <c r="D48" s="2" t="s">
        <v>156</v>
      </c>
      <c r="E48" s="2" t="s">
        <v>24</v>
      </c>
      <c r="F48" s="2" t="s">
        <v>157</v>
      </c>
      <c r="G48" s="3"/>
      <c r="H48" s="2" t="s">
        <v>29</v>
      </c>
      <c r="I48" s="2"/>
    </row>
    <row r="49" ht="15" customHeight="1" spans="1:9" x14ac:dyDescent="0.25">
      <c r="A49" s="4" t="s">
        <v>158</v>
      </c>
      <c r="B49" s="4" t="s">
        <v>154</v>
      </c>
      <c r="C49" s="4" t="s">
        <v>155</v>
      </c>
      <c r="D49" s="4" t="s">
        <v>159</v>
      </c>
      <c r="E49" s="4" t="s">
        <v>24</v>
      </c>
      <c r="F49" s="4" t="s">
        <v>157</v>
      </c>
      <c r="G49" s="3"/>
      <c r="H49" s="4" t="s">
        <v>55</v>
      </c>
      <c r="I49" s="4" t="s">
        <v>160</v>
      </c>
    </row>
    <row r="50" ht="15" customHeight="1" spans="1:9" x14ac:dyDescent="0.25">
      <c r="A50" s="2" t="s">
        <v>161</v>
      </c>
      <c r="B50" s="2" t="s">
        <v>162</v>
      </c>
      <c r="C50" s="2" t="s">
        <v>163</v>
      </c>
      <c r="D50" s="2" t="s">
        <v>164</v>
      </c>
      <c r="E50" s="2" t="s">
        <v>62</v>
      </c>
      <c r="F50" s="2" t="s">
        <v>35</v>
      </c>
      <c r="G50" s="3"/>
      <c r="H50" s="2" t="s">
        <v>29</v>
      </c>
      <c r="I50" s="2" t="s">
        <v>47</v>
      </c>
    </row>
    <row r="51" ht="15" customHeight="1" spans="1:9" x14ac:dyDescent="0.25">
      <c r="A51" s="4" t="s">
        <v>165</v>
      </c>
      <c r="B51" s="4" t="s">
        <v>162</v>
      </c>
      <c r="C51" s="4" t="s">
        <v>163</v>
      </c>
      <c r="D51" s="4" t="s">
        <v>166</v>
      </c>
      <c r="E51" s="4" t="s">
        <v>62</v>
      </c>
      <c r="F51" s="4" t="s">
        <v>35</v>
      </c>
      <c r="G51" s="3"/>
      <c r="H51" s="4" t="s">
        <v>29</v>
      </c>
      <c r="I51" s="4"/>
    </row>
    <row r="52" ht="15" customHeight="1" spans="1:9" x14ac:dyDescent="0.25">
      <c r="A52" s="2" t="s">
        <v>167</v>
      </c>
      <c r="B52" s="2" t="s">
        <v>168</v>
      </c>
      <c r="C52" s="2" t="s">
        <v>169</v>
      </c>
      <c r="D52" s="2" t="s">
        <v>170</v>
      </c>
      <c r="E52" s="2" t="s">
        <v>62</v>
      </c>
      <c r="F52" s="2" t="s">
        <v>96</v>
      </c>
      <c r="G52" s="3"/>
      <c r="H52" s="2" t="s">
        <v>29</v>
      </c>
      <c r="I52" s="2" t="s">
        <v>47</v>
      </c>
    </row>
    <row r="53" ht="15" customHeight="1" spans="1:9" x14ac:dyDescent="0.25">
      <c r="A53" s="4" t="s">
        <v>171</v>
      </c>
      <c r="B53" s="4" t="s">
        <v>168</v>
      </c>
      <c r="C53" s="4" t="s">
        <v>169</v>
      </c>
      <c r="D53" s="4" t="s">
        <v>172</v>
      </c>
      <c r="E53" s="4" t="s">
        <v>62</v>
      </c>
      <c r="F53" s="4" t="s">
        <v>96</v>
      </c>
      <c r="G53" s="3"/>
      <c r="H53" s="4" t="s">
        <v>29</v>
      </c>
      <c r="I53" s="4"/>
    </row>
    <row r="54" ht="23.85" customHeight="1" spans="1:9" x14ac:dyDescent="0.25">
      <c r="A54" s="2" t="s">
        <v>173</v>
      </c>
      <c r="B54" s="2" t="s">
        <v>174</v>
      </c>
      <c r="C54" s="2" t="s">
        <v>175</v>
      </c>
      <c r="D54" s="2" t="s">
        <v>176</v>
      </c>
      <c r="E54" s="2" t="s">
        <v>24</v>
      </c>
      <c r="F54" s="2" t="s">
        <v>35</v>
      </c>
      <c r="G54" s="3"/>
      <c r="H54" s="2" t="s">
        <v>55</v>
      </c>
      <c r="I54" s="2" t="s">
        <v>177</v>
      </c>
    </row>
    <row r="55" ht="23.85" customHeight="1" spans="1:9" x14ac:dyDescent="0.25">
      <c r="A55" s="4" t="s">
        <v>178</v>
      </c>
      <c r="B55" s="4" t="s">
        <v>174</v>
      </c>
      <c r="C55" s="4" t="s">
        <v>175</v>
      </c>
      <c r="D55" s="4" t="s">
        <v>179</v>
      </c>
      <c r="E55" s="4" t="s">
        <v>24</v>
      </c>
      <c r="F55" s="4" t="s">
        <v>35</v>
      </c>
      <c r="G55" s="3"/>
      <c r="H55" s="4" t="s">
        <v>55</v>
      </c>
      <c r="I55" s="4" t="s">
        <v>180</v>
      </c>
    </row>
    <row r="56" ht="23.85" customHeight="1" spans="1:9" x14ac:dyDescent="0.25">
      <c r="A56" s="2" t="s">
        <v>181</v>
      </c>
      <c r="B56" s="2" t="s">
        <v>174</v>
      </c>
      <c r="C56" s="2" t="s">
        <v>175</v>
      </c>
      <c r="D56" s="2" t="s">
        <v>182</v>
      </c>
      <c r="E56" s="2" t="s">
        <v>62</v>
      </c>
      <c r="F56" s="2" t="s">
        <v>145</v>
      </c>
      <c r="G56" s="3"/>
      <c r="H56" s="2" t="s">
        <v>29</v>
      </c>
      <c r="I56" s="2" t="s">
        <v>129</v>
      </c>
    </row>
    <row r="57" ht="23.85" customHeight="1" spans="1:9" x14ac:dyDescent="0.25">
      <c r="A57" s="4" t="s">
        <v>183</v>
      </c>
      <c r="B57" s="4" t="s">
        <v>184</v>
      </c>
      <c r="C57" s="4" t="s">
        <v>185</v>
      </c>
      <c r="D57" s="4" t="s">
        <v>186</v>
      </c>
      <c r="E57" s="4" t="s">
        <v>62</v>
      </c>
      <c r="F57" s="4" t="s">
        <v>187</v>
      </c>
      <c r="G57" s="3"/>
      <c r="H57" s="4" t="s">
        <v>29</v>
      </c>
      <c r="I57" s="4" t="s">
        <v>47</v>
      </c>
    </row>
    <row r="58" ht="23.85" customHeight="1" spans="1:9" x14ac:dyDescent="0.25">
      <c r="A58" s="2" t="s">
        <v>188</v>
      </c>
      <c r="B58" s="2" t="s">
        <v>184</v>
      </c>
      <c r="C58" s="2" t="s">
        <v>185</v>
      </c>
      <c r="D58" s="2" t="s">
        <v>189</v>
      </c>
      <c r="E58" s="2" t="s">
        <v>62</v>
      </c>
      <c r="F58" s="2" t="s">
        <v>187</v>
      </c>
      <c r="G58" s="3"/>
      <c r="H58" s="2" t="s">
        <v>29</v>
      </c>
      <c r="I58" s="2" t="s">
        <v>47</v>
      </c>
    </row>
    <row r="59" ht="15" customHeight="1" spans="1:9" x14ac:dyDescent="0.25">
      <c r="A59" s="4" t="s">
        <v>190</v>
      </c>
      <c r="B59" s="4" t="s">
        <v>191</v>
      </c>
      <c r="C59" s="4" t="s">
        <v>192</v>
      </c>
      <c r="D59" s="4" t="s">
        <v>193</v>
      </c>
      <c r="E59" s="4" t="s">
        <v>24</v>
      </c>
      <c r="F59" s="4" t="s">
        <v>96</v>
      </c>
      <c r="G59" s="3"/>
      <c r="H59" s="4" t="s">
        <v>29</v>
      </c>
      <c r="I59" s="4" t="s">
        <v>194</v>
      </c>
    </row>
    <row r="60" ht="15" customHeight="1" spans="1:9" x14ac:dyDescent="0.25">
      <c r="A60" s="2" t="s">
        <v>195</v>
      </c>
      <c r="B60" s="2" t="s">
        <v>191</v>
      </c>
      <c r="C60" s="2" t="s">
        <v>192</v>
      </c>
      <c r="D60" s="2" t="s">
        <v>196</v>
      </c>
      <c r="E60" s="2" t="s">
        <v>24</v>
      </c>
      <c r="F60" s="2" t="s">
        <v>96</v>
      </c>
      <c r="G60" s="3"/>
      <c r="H60" s="2" t="s">
        <v>29</v>
      </c>
      <c r="I60" s="2" t="s">
        <v>197</v>
      </c>
    </row>
    <row r="61" ht="15" customHeight="1" spans="1:9" x14ac:dyDescent="0.25">
      <c r="A61" s="4" t="s">
        <v>198</v>
      </c>
      <c r="B61" s="4" t="s">
        <v>93</v>
      </c>
      <c r="C61" s="4" t="s">
        <v>94</v>
      </c>
      <c r="D61" s="4" t="s">
        <v>199</v>
      </c>
      <c r="E61" s="4" t="s">
        <v>13</v>
      </c>
      <c r="F61" s="4" t="s">
        <v>200</v>
      </c>
      <c r="G61" s="3"/>
      <c r="H61" s="4" t="s">
        <v>55</v>
      </c>
      <c r="I61" s="4" t="s">
        <v>201</v>
      </c>
    </row>
    <row r="62" ht="15" customHeight="1" spans="1:9" x14ac:dyDescent="0.25">
      <c r="A62" s="2" t="s">
        <v>202</v>
      </c>
      <c r="B62" s="2" t="s">
        <v>93</v>
      </c>
      <c r="C62" s="2" t="s">
        <v>94</v>
      </c>
      <c r="D62" s="2" t="s">
        <v>203</v>
      </c>
      <c r="E62" s="2" t="s">
        <v>13</v>
      </c>
      <c r="F62" s="2" t="s">
        <v>96</v>
      </c>
      <c r="G62" s="3"/>
      <c r="H62" s="2" t="s">
        <v>55</v>
      </c>
      <c r="I62" s="2" t="s">
        <v>201</v>
      </c>
    </row>
    <row r="63" ht="15" customHeight="1" spans="1:9" x14ac:dyDescent="0.25">
      <c r="A63" s="4" t="s">
        <v>204</v>
      </c>
      <c r="B63" s="4" t="s">
        <v>142</v>
      </c>
      <c r="C63" s="4" t="s">
        <v>143</v>
      </c>
      <c r="D63" s="4" t="s">
        <v>205</v>
      </c>
      <c r="E63" s="4" t="s">
        <v>13</v>
      </c>
      <c r="F63" s="4" t="s">
        <v>145</v>
      </c>
      <c r="G63" s="3"/>
      <c r="H63" s="4" t="s">
        <v>55</v>
      </c>
      <c r="I63" s="4" t="s">
        <v>201</v>
      </c>
    </row>
    <row r="64" ht="15" customHeight="1" spans="1:9" x14ac:dyDescent="0.25">
      <c r="A64" s="2" t="s">
        <v>206</v>
      </c>
      <c r="B64" s="2" t="s">
        <v>142</v>
      </c>
      <c r="C64" s="2" t="s">
        <v>143</v>
      </c>
      <c r="D64" s="2" t="s">
        <v>207</v>
      </c>
      <c r="E64" s="2" t="s">
        <v>13</v>
      </c>
      <c r="F64" s="2" t="s">
        <v>145</v>
      </c>
      <c r="G64" s="3"/>
      <c r="H64" s="2" t="s">
        <v>55</v>
      </c>
      <c r="I64" s="2" t="s">
        <v>201</v>
      </c>
    </row>
    <row r="65" ht="15" customHeight="1" spans="1:9" x14ac:dyDescent="0.25">
      <c r="A65" s="4" t="s">
        <v>208</v>
      </c>
      <c r="B65" s="4" t="s">
        <v>154</v>
      </c>
      <c r="C65" s="4" t="s">
        <v>155</v>
      </c>
      <c r="D65" s="4" t="s">
        <v>209</v>
      </c>
      <c r="E65" s="4" t="s">
        <v>13</v>
      </c>
      <c r="F65" s="4" t="s">
        <v>157</v>
      </c>
      <c r="G65" s="3"/>
      <c r="H65" s="4" t="s">
        <v>55</v>
      </c>
      <c r="I65" s="4" t="s">
        <v>210</v>
      </c>
    </row>
    <row r="66" ht="15" customHeight="1" spans="1:9" x14ac:dyDescent="0.25">
      <c r="A66" s="2" t="s">
        <v>211</v>
      </c>
      <c r="B66" s="2" t="s">
        <v>212</v>
      </c>
      <c r="C66" s="2" t="s">
        <v>213</v>
      </c>
      <c r="D66" s="2" t="s">
        <v>214</v>
      </c>
      <c r="E66" s="2" t="s">
        <v>13</v>
      </c>
      <c r="F66" s="2" t="s">
        <v>215</v>
      </c>
      <c r="G66" s="3"/>
      <c r="H66" s="2" t="s">
        <v>55</v>
      </c>
      <c r="I66" s="2" t="s">
        <v>216</v>
      </c>
    </row>
    <row r="67" ht="15" customHeight="1" spans="1:9" x14ac:dyDescent="0.25">
      <c r="A67" s="4" t="s">
        <v>217</v>
      </c>
      <c r="B67" s="4" t="s">
        <v>212</v>
      </c>
      <c r="C67" s="4" t="s">
        <v>213</v>
      </c>
      <c r="D67" s="4" t="s">
        <v>218</v>
      </c>
      <c r="E67" s="4" t="s">
        <v>13</v>
      </c>
      <c r="F67" s="4" t="s">
        <v>215</v>
      </c>
      <c r="G67" s="3"/>
      <c r="H67" s="4" t="s">
        <v>55</v>
      </c>
      <c r="I67" s="4" t="s">
        <v>201</v>
      </c>
    </row>
    <row r="68" ht="15" customHeight="1" spans="1:9" x14ac:dyDescent="0.25">
      <c r="A68" s="2" t="s">
        <v>219</v>
      </c>
      <c r="B68" s="2" t="s">
        <v>212</v>
      </c>
      <c r="C68" s="2" t="s">
        <v>213</v>
      </c>
      <c r="D68" s="2" t="s">
        <v>220</v>
      </c>
      <c r="E68" s="2" t="s">
        <v>24</v>
      </c>
      <c r="F68" s="2" t="s">
        <v>215</v>
      </c>
      <c r="G68" s="3"/>
      <c r="H68" s="2" t="s">
        <v>55</v>
      </c>
      <c r="I68" s="2" t="s">
        <v>201</v>
      </c>
    </row>
    <row r="69" ht="15" customHeight="1" spans="1:9" x14ac:dyDescent="0.25">
      <c r="A69" s="4" t="s">
        <v>221</v>
      </c>
      <c r="B69" s="4" t="s">
        <v>222</v>
      </c>
      <c r="C69" s="4" t="s">
        <v>223</v>
      </c>
      <c r="D69" s="4" t="s">
        <v>224</v>
      </c>
      <c r="E69" s="4" t="s">
        <v>13</v>
      </c>
      <c r="F69" s="4" t="s">
        <v>225</v>
      </c>
      <c r="G69" s="3"/>
      <c r="H69" s="4" t="s">
        <v>55</v>
      </c>
      <c r="I69" s="4" t="s">
        <v>216</v>
      </c>
    </row>
    <row r="70" ht="15" customHeight="1" spans="1:9" x14ac:dyDescent="0.25">
      <c r="A70" s="2" t="s">
        <v>226</v>
      </c>
      <c r="B70" s="2" t="s">
        <v>222</v>
      </c>
      <c r="C70" s="2" t="s">
        <v>223</v>
      </c>
      <c r="D70" s="2" t="s">
        <v>227</v>
      </c>
      <c r="E70" s="2" t="s">
        <v>13</v>
      </c>
      <c r="F70" s="2" t="s">
        <v>228</v>
      </c>
      <c r="G70" s="3"/>
      <c r="H70" s="2" t="s">
        <v>55</v>
      </c>
      <c r="I70" s="2" t="s">
        <v>201</v>
      </c>
    </row>
    <row r="71" ht="15" customHeight="1" spans="1:9" x14ac:dyDescent="0.25">
      <c r="A71" s="4" t="s">
        <v>229</v>
      </c>
      <c r="B71" s="4" t="s">
        <v>222</v>
      </c>
      <c r="C71" s="4" t="s">
        <v>223</v>
      </c>
      <c r="D71" s="4" t="s">
        <v>230</v>
      </c>
      <c r="E71" s="4" t="s">
        <v>62</v>
      </c>
      <c r="F71" s="4" t="s">
        <v>225</v>
      </c>
      <c r="G71" s="3"/>
      <c r="H71" s="4" t="s">
        <v>29</v>
      </c>
      <c r="I71" s="4" t="s">
        <v>231</v>
      </c>
    </row>
    <row r="72" ht="15" customHeight="1" spans="1:9" x14ac:dyDescent="0.25">
      <c r="A72" s="2" t="s">
        <v>232</v>
      </c>
      <c r="B72" s="2" t="s">
        <v>233</v>
      </c>
      <c r="C72" s="2" t="s">
        <v>11</v>
      </c>
      <c r="D72" s="2" t="s">
        <v>234</v>
      </c>
      <c r="E72" s="2" t="s">
        <v>13</v>
      </c>
      <c r="F72" s="2" t="s">
        <v>14</v>
      </c>
      <c r="G72" s="3"/>
      <c r="H72" s="2" t="s">
        <v>55</v>
      </c>
      <c r="I72" s="2" t="s">
        <v>201</v>
      </c>
    </row>
    <row r="73" ht="15" customHeight="1" spans="1:9" x14ac:dyDescent="0.25">
      <c r="A73" s="4" t="s">
        <v>235</v>
      </c>
      <c r="B73" s="4" t="s">
        <v>233</v>
      </c>
      <c r="C73" s="4" t="s">
        <v>11</v>
      </c>
      <c r="D73" s="4" t="s">
        <v>236</v>
      </c>
      <c r="E73" s="4" t="s">
        <v>13</v>
      </c>
      <c r="F73" s="4" t="s">
        <v>14</v>
      </c>
      <c r="G73" s="3"/>
      <c r="H73" s="4" t="s">
        <v>55</v>
      </c>
      <c r="I73" s="4" t="s">
        <v>237</v>
      </c>
    </row>
    <row r="74" ht="15" customHeight="1" spans="1:9" x14ac:dyDescent="0.25">
      <c r="A74" s="2" t="s">
        <v>238</v>
      </c>
      <c r="B74" s="2" t="s">
        <v>233</v>
      </c>
      <c r="C74" s="2" t="s">
        <v>11</v>
      </c>
      <c r="D74" s="2" t="s">
        <v>239</v>
      </c>
      <c r="E74" s="2" t="s">
        <v>13</v>
      </c>
      <c r="F74" s="2" t="s">
        <v>14</v>
      </c>
      <c r="G74" s="3"/>
      <c r="H74" s="2" t="s">
        <v>55</v>
      </c>
      <c r="I74" s="2" t="s">
        <v>201</v>
      </c>
    </row>
    <row r="75" ht="15" customHeight="1" spans="1:9" x14ac:dyDescent="0.25">
      <c r="A75" s="4" t="s">
        <v>240</v>
      </c>
      <c r="B75" s="4" t="s">
        <v>233</v>
      </c>
      <c r="C75" s="4" t="s">
        <v>11</v>
      </c>
      <c r="D75" s="4" t="s">
        <v>241</v>
      </c>
      <c r="E75" s="4" t="s">
        <v>13</v>
      </c>
      <c r="F75" s="4" t="s">
        <v>14</v>
      </c>
      <c r="G75" s="3"/>
      <c r="H75" s="4" t="s">
        <v>55</v>
      </c>
      <c r="I75" s="4" t="s">
        <v>201</v>
      </c>
    </row>
    <row r="76" ht="15" customHeight="1" spans="1:9" x14ac:dyDescent="0.25">
      <c r="A76" s="2" t="s">
        <v>242</v>
      </c>
      <c r="B76" s="2" t="s">
        <v>233</v>
      </c>
      <c r="C76" s="2" t="s">
        <v>11</v>
      </c>
      <c r="D76" s="2" t="s">
        <v>243</v>
      </c>
      <c r="E76" s="2" t="s">
        <v>13</v>
      </c>
      <c r="F76" s="2" t="s">
        <v>14</v>
      </c>
      <c r="G76" s="3"/>
      <c r="H76" s="2" t="s">
        <v>55</v>
      </c>
      <c r="I76" s="2" t="s">
        <v>201</v>
      </c>
    </row>
    <row r="77" ht="15" customHeight="1" spans="1:9" x14ac:dyDescent="0.25">
      <c r="A77" s="4" t="s">
        <v>244</v>
      </c>
      <c r="B77" s="4" t="s">
        <v>245</v>
      </c>
      <c r="C77" s="4" t="s">
        <v>11</v>
      </c>
      <c r="D77" s="4" t="s">
        <v>246</v>
      </c>
      <c r="E77" s="4" t="s">
        <v>13</v>
      </c>
      <c r="F77" s="4" t="s">
        <v>14</v>
      </c>
      <c r="G77" s="3"/>
      <c r="H77" s="4" t="s">
        <v>55</v>
      </c>
      <c r="I77" s="4" t="s">
        <v>247</v>
      </c>
    </row>
    <row r="78" ht="15" customHeight="1" spans="1:9" x14ac:dyDescent="0.25">
      <c r="A78" s="2" t="s">
        <v>248</v>
      </c>
      <c r="B78" s="2" t="s">
        <v>245</v>
      </c>
      <c r="C78" s="2" t="s">
        <v>11</v>
      </c>
      <c r="D78" s="2" t="s">
        <v>249</v>
      </c>
      <c r="E78" s="2" t="s">
        <v>13</v>
      </c>
      <c r="F78" s="2" t="s">
        <v>14</v>
      </c>
      <c r="G78" s="3"/>
      <c r="H78" s="2" t="s">
        <v>55</v>
      </c>
      <c r="I78" s="2" t="s">
        <v>250</v>
      </c>
    </row>
    <row r="79" ht="15" customHeight="1" spans="1:9" x14ac:dyDescent="0.25">
      <c r="A79" s="4" t="s">
        <v>251</v>
      </c>
      <c r="B79" s="4" t="s">
        <v>245</v>
      </c>
      <c r="C79" s="4" t="s">
        <v>11</v>
      </c>
      <c r="D79" s="4" t="s">
        <v>252</v>
      </c>
      <c r="E79" s="4" t="s">
        <v>13</v>
      </c>
      <c r="F79" s="4" t="s">
        <v>14</v>
      </c>
      <c r="G79" s="3"/>
      <c r="H79" s="4" t="s">
        <v>55</v>
      </c>
      <c r="I79" s="4" t="s">
        <v>201</v>
      </c>
    </row>
    <row r="80" ht="15" customHeight="1" spans="1:9" x14ac:dyDescent="0.25">
      <c r="A80" s="2" t="s">
        <v>253</v>
      </c>
      <c r="B80" s="2" t="s">
        <v>245</v>
      </c>
      <c r="C80" s="2" t="s">
        <v>11</v>
      </c>
      <c r="D80" s="2" t="s">
        <v>254</v>
      </c>
      <c r="E80" s="2" t="s">
        <v>24</v>
      </c>
      <c r="F80" s="2" t="s">
        <v>14</v>
      </c>
      <c r="G80" s="3"/>
      <c r="H80" s="2" t="s">
        <v>29</v>
      </c>
      <c r="I80" s="2" t="s">
        <v>255</v>
      </c>
    </row>
    <row r="81" ht="15" customHeight="1" spans="1:9" x14ac:dyDescent="0.25">
      <c r="A81" s="4" t="s">
        <v>256</v>
      </c>
      <c r="B81" s="4" t="s">
        <v>257</v>
      </c>
      <c r="C81" s="4" t="s">
        <v>11</v>
      </c>
      <c r="D81" s="4" t="s">
        <v>258</v>
      </c>
      <c r="E81" s="4" t="s">
        <v>13</v>
      </c>
      <c r="F81" s="4" t="s">
        <v>14</v>
      </c>
      <c r="G81" s="3"/>
      <c r="H81" s="4" t="s">
        <v>55</v>
      </c>
      <c r="I81" s="4" t="s">
        <v>259</v>
      </c>
    </row>
    <row r="82" ht="15" customHeight="1" spans="1:9" x14ac:dyDescent="0.25">
      <c r="A82" s="2" t="s">
        <v>260</v>
      </c>
      <c r="B82" s="2" t="s">
        <v>257</v>
      </c>
      <c r="C82" s="2" t="s">
        <v>11</v>
      </c>
      <c r="D82" s="2" t="s">
        <v>261</v>
      </c>
      <c r="E82" s="2" t="s">
        <v>13</v>
      </c>
      <c r="F82" s="2" t="s">
        <v>14</v>
      </c>
      <c r="G82" s="3"/>
      <c r="H82" s="2" t="s">
        <v>262</v>
      </c>
      <c r="I82" s="2" t="s">
        <v>263</v>
      </c>
    </row>
    <row r="83" ht="15" customHeight="1" spans="1:9" x14ac:dyDescent="0.25">
      <c r="A83" s="4" t="s">
        <v>264</v>
      </c>
      <c r="B83" s="4" t="s">
        <v>257</v>
      </c>
      <c r="C83" s="4" t="s">
        <v>11</v>
      </c>
      <c r="D83" s="4" t="s">
        <v>265</v>
      </c>
      <c r="E83" s="4" t="s">
        <v>13</v>
      </c>
      <c r="F83" s="4" t="s">
        <v>14</v>
      </c>
      <c r="G83" s="3"/>
      <c r="H83" s="4" t="s">
        <v>266</v>
      </c>
      <c r="I83" s="4" t="s">
        <v>267</v>
      </c>
    </row>
    <row r="84" ht="15" customHeight="1" spans="1:9" x14ac:dyDescent="0.25">
      <c r="A84" s="2" t="s">
        <v>268</v>
      </c>
      <c r="B84" s="2" t="s">
        <v>257</v>
      </c>
      <c r="C84" s="2" t="s">
        <v>11</v>
      </c>
      <c r="D84" s="2" t="s">
        <v>269</v>
      </c>
      <c r="E84" s="2" t="s">
        <v>24</v>
      </c>
      <c r="F84" s="2" t="s">
        <v>14</v>
      </c>
      <c r="G84" s="3"/>
      <c r="H84" s="2" t="s">
        <v>55</v>
      </c>
      <c r="I84" s="2" t="s">
        <v>201</v>
      </c>
    </row>
    <row r="85" ht="15" customHeight="1" spans="1:9" x14ac:dyDescent="0.25">
      <c r="A85" s="4" t="s">
        <v>270</v>
      </c>
      <c r="B85" s="4" t="s">
        <v>257</v>
      </c>
      <c r="C85" s="4" t="s">
        <v>11</v>
      </c>
      <c r="D85" s="4" t="s">
        <v>271</v>
      </c>
      <c r="E85" s="4" t="s">
        <v>24</v>
      </c>
      <c r="F85" s="4" t="s">
        <v>14</v>
      </c>
      <c r="G85" s="3"/>
      <c r="H85" s="4" t="s">
        <v>55</v>
      </c>
      <c r="I85" s="4" t="s">
        <v>272</v>
      </c>
    </row>
    <row r="86" ht="15" customHeight="1" spans="1:9" x14ac:dyDescent="0.25">
      <c r="A86" s="2" t="s">
        <v>273</v>
      </c>
      <c r="B86" s="2" t="s">
        <v>257</v>
      </c>
      <c r="C86" s="2" t="s">
        <v>11</v>
      </c>
      <c r="D86" s="2" t="s">
        <v>274</v>
      </c>
      <c r="E86" s="2" t="s">
        <v>13</v>
      </c>
      <c r="F86" s="2" t="s">
        <v>14</v>
      </c>
      <c r="G86" s="3"/>
      <c r="H86" s="2" t="s">
        <v>29</v>
      </c>
      <c r="I86" s="2" t="s">
        <v>30</v>
      </c>
    </row>
    <row r="87" ht="15" customHeight="1" spans="1:9" x14ac:dyDescent="0.25">
      <c r="A87" s="4" t="s">
        <v>275</v>
      </c>
      <c r="B87" s="4" t="s">
        <v>257</v>
      </c>
      <c r="C87" s="4" t="s">
        <v>11</v>
      </c>
      <c r="D87" s="4" t="s">
        <v>276</v>
      </c>
      <c r="E87" s="4" t="s">
        <v>62</v>
      </c>
      <c r="F87" s="4" t="s">
        <v>14</v>
      </c>
      <c r="G87" s="3"/>
      <c r="H87" s="4" t="s">
        <v>29</v>
      </c>
      <c r="I87" s="4" t="s">
        <v>277</v>
      </c>
    </row>
    <row r="88" ht="15" customHeight="1" spans="1:9" x14ac:dyDescent="0.25">
      <c r="A88" s="2" t="s">
        <v>278</v>
      </c>
      <c r="B88" s="2" t="s">
        <v>279</v>
      </c>
      <c r="C88" s="2" t="s">
        <v>11</v>
      </c>
      <c r="D88" s="2" t="s">
        <v>280</v>
      </c>
      <c r="E88" s="2" t="s">
        <v>13</v>
      </c>
      <c r="F88" s="2" t="s">
        <v>14</v>
      </c>
      <c r="G88" s="3"/>
      <c r="H88" s="2" t="s">
        <v>266</v>
      </c>
      <c r="I88" s="2" t="s">
        <v>281</v>
      </c>
    </row>
    <row r="89" ht="15" customHeight="1" spans="1:9" x14ac:dyDescent="0.25">
      <c r="A89" s="4" t="s">
        <v>282</v>
      </c>
      <c r="B89" s="4" t="s">
        <v>279</v>
      </c>
      <c r="C89" s="4" t="s">
        <v>11</v>
      </c>
      <c r="D89" s="4" t="s">
        <v>283</v>
      </c>
      <c r="E89" s="4" t="s">
        <v>13</v>
      </c>
      <c r="F89" s="4" t="s">
        <v>14</v>
      </c>
      <c r="G89" s="3"/>
      <c r="H89" s="4" t="s">
        <v>29</v>
      </c>
      <c r="I89" s="4" t="s">
        <v>284</v>
      </c>
    </row>
  </sheetData>
  <conditionalFormatting sqref="H2:H89">
    <cfRule type="cellIs" dxfId="0" priority="2" operator="equal">
      <formula>"Done"</formula>
    </cfRule>
    <cfRule type="cellIs" dxfId="1" priority="3" operator="equal">
      <formula>"In review"</formula>
    </cfRule>
    <cfRule type="cellIs" dxfId="2" priority="4" operator="equal">
      <formula>"In progress"</formula>
    </cfRule>
    <cfRule type="cellIs" dxfId="3" priority="5" operator="equal">
      <formula>"Ready"</formula>
    </cfRule>
    <cfRule type="cellIs" dxfId="4" priority="6" operator="equal">
      <formula>"Backlog"</formula>
    </cfRule>
  </conditionalFormatting>
  <conditionalFormatting sqref="E2:E89">
    <cfRule type="cellIs" dxfId="5" priority="7" operator="equal">
      <formula>"Alta"</formula>
    </cfRule>
    <cfRule type="cellIs" dxfId="6" priority="8" operator="equal">
      <formula>"Media"</formula>
    </cfRule>
    <cfRule type="cellIs" dxfId="7" priority="9" operator="equal">
      <formula>"Baja"</formula>
    </cfRule>
  </conditionalFormatting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7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3" customWidth="1"/>
    <col min="2" max="2" width="34" customWidth="1"/>
    <col min="3" max="3" width="18" customWidth="1"/>
  </cols>
  <sheetData>
    <row r="2" ht="17.35" customHeight="1" spans="2:2" x14ac:dyDescent="0.25">
      <c r="B2" s="5" t="s">
        <v>285</v>
      </c>
    </row>
    <row r="4" ht="15" customHeight="1" spans="2:2" x14ac:dyDescent="0.25">
      <c r="B4" s="6" t="s">
        <v>286</v>
      </c>
    </row>
    <row r="5" ht="15" customHeight="1" spans="2:3" x14ac:dyDescent="0.25">
      <c r="B5" s="7" t="s">
        <v>7</v>
      </c>
      <c r="C5" s="7" t="s">
        <v>287</v>
      </c>
    </row>
    <row r="6" ht="15" customHeight="1" spans="2:3" x14ac:dyDescent="0.25">
      <c r="B6" s="8" t="s">
        <v>288</v>
      </c>
      <c r="C6" s="9">
        <f>COUNTIF('Backlog Backend'!H:H,B6)</f>
      </c>
    </row>
    <row r="7" ht="15" customHeight="1" spans="2:3" x14ac:dyDescent="0.25">
      <c r="B7" s="8" t="s">
        <v>29</v>
      </c>
      <c r="C7" s="9">
        <f>COUNTIF('Backlog Backend'!H:H,B7)</f>
      </c>
    </row>
    <row r="8" ht="15" customHeight="1" spans="2:3" x14ac:dyDescent="0.25">
      <c r="B8" s="8" t="s">
        <v>266</v>
      </c>
      <c r="C8" s="9">
        <f>COUNTIF('Backlog Backend'!H:H,B8)</f>
      </c>
    </row>
    <row r="9" ht="15" customHeight="1" spans="2:3" x14ac:dyDescent="0.25">
      <c r="B9" s="8" t="s">
        <v>262</v>
      </c>
      <c r="C9" s="9">
        <f>COUNTIF('Backlog Backend'!H:H,B9)</f>
      </c>
    </row>
    <row r="10" ht="15" customHeight="1" spans="2:3" x14ac:dyDescent="0.25">
      <c r="B10" s="8" t="s">
        <v>55</v>
      </c>
      <c r="C10" s="9">
        <f>COUNTIF('Backlog Backend'!H:H,B10)</f>
      </c>
    </row>
    <row r="11" ht="15" customHeight="1" spans="2:3" x14ac:dyDescent="0.25">
      <c r="B11" s="8" t="s">
        <v>15</v>
      </c>
      <c r="C11" s="9">
        <f>COUNTIF('Backlog Backend'!H:H,B11)</f>
      </c>
    </row>
    <row r="12" ht="15" customHeight="1" spans="2:3" x14ac:dyDescent="0.25">
      <c r="B12" s="10" t="s">
        <v>289</v>
      </c>
      <c r="C12" s="10">
        <f>SUM(C6:C11)</f>
      </c>
    </row>
    <row r="15" ht="15" customHeight="1" spans="2:2" x14ac:dyDescent="0.25">
      <c r="B15" s="6" t="s">
        <v>290</v>
      </c>
    </row>
    <row r="16" ht="15" customHeight="1" spans="2:3" x14ac:dyDescent="0.25">
      <c r="B16" s="7" t="s">
        <v>1</v>
      </c>
      <c r="C16" s="7" t="s">
        <v>287</v>
      </c>
    </row>
    <row r="17" ht="15" customHeight="1" spans="2:3" x14ac:dyDescent="0.25">
      <c r="B17" s="8" t="s">
        <v>10</v>
      </c>
      <c r="C17" s="9">
        <f>COUNTIF('Backlog Backend'!B:B,B17)</f>
      </c>
    </row>
    <row r="18" ht="15" customHeight="1" spans="2:3" x14ac:dyDescent="0.25">
      <c r="B18" s="8" t="s">
        <v>32</v>
      </c>
      <c r="C18" s="9">
        <f>COUNTIF('Backlog Backend'!B:B,B18)</f>
      </c>
    </row>
    <row r="19" ht="15" customHeight="1" spans="2:3" x14ac:dyDescent="0.25">
      <c r="B19" s="8" t="s">
        <v>69</v>
      </c>
      <c r="C19" s="9">
        <f>COUNTIF('Backlog Backend'!B:B,B19)</f>
      </c>
    </row>
    <row r="20" ht="15" customHeight="1" spans="2:3" x14ac:dyDescent="0.25">
      <c r="B20" s="8" t="s">
        <v>82</v>
      </c>
      <c r="C20" s="9">
        <f>COUNTIF('Backlog Backend'!B:B,B20)</f>
      </c>
    </row>
    <row r="21" ht="15" customHeight="1" spans="2:3" x14ac:dyDescent="0.25">
      <c r="B21" s="8" t="s">
        <v>93</v>
      </c>
      <c r="C21" s="9">
        <f>COUNTIF('Backlog Backend'!B:B,B21)</f>
      </c>
    </row>
    <row r="22" ht="15" customHeight="1" spans="2:3" x14ac:dyDescent="0.25">
      <c r="B22" s="8" t="s">
        <v>108</v>
      </c>
      <c r="C22" s="9">
        <f>COUNTIF('Backlog Backend'!B:B,B22)</f>
      </c>
    </row>
    <row r="23" ht="15" customHeight="1" spans="2:3" x14ac:dyDescent="0.25">
      <c r="B23" s="8" t="s">
        <v>119</v>
      </c>
      <c r="C23" s="9">
        <f>COUNTIF('Backlog Backend'!B:B,B23)</f>
      </c>
    </row>
    <row r="24" ht="15" customHeight="1" spans="2:3" x14ac:dyDescent="0.25">
      <c r="B24" s="8" t="s">
        <v>131</v>
      </c>
      <c r="C24" s="9">
        <f>COUNTIF('Backlog Backend'!B:B,B24)</f>
      </c>
    </row>
    <row r="25" ht="15" customHeight="1" spans="2:3" x14ac:dyDescent="0.25">
      <c r="B25" s="8" t="s">
        <v>142</v>
      </c>
      <c r="C25" s="9">
        <f>COUNTIF('Backlog Backend'!B:B,B25)</f>
      </c>
    </row>
    <row r="26" ht="15" customHeight="1" spans="2:3" x14ac:dyDescent="0.25">
      <c r="B26" s="8" t="s">
        <v>154</v>
      </c>
      <c r="C26" s="9">
        <f>COUNTIF('Backlog Backend'!B:B,B26)</f>
      </c>
    </row>
    <row r="27" ht="15" customHeight="1" spans="2:3" x14ac:dyDescent="0.25">
      <c r="B27" s="8" t="s">
        <v>162</v>
      </c>
      <c r="C27" s="9">
        <f>COUNTIF('Backlog Backend'!B:B,B27)</f>
      </c>
    </row>
    <row r="28" ht="15" customHeight="1" spans="2:3" x14ac:dyDescent="0.25">
      <c r="B28" s="8" t="s">
        <v>168</v>
      </c>
      <c r="C28" s="9">
        <f>COUNTIF('Backlog Backend'!B:B,B28)</f>
      </c>
    </row>
    <row r="29" ht="15" customHeight="1" spans="2:3" x14ac:dyDescent="0.25">
      <c r="B29" s="8" t="s">
        <v>174</v>
      </c>
      <c r="C29" s="9">
        <f>COUNTIF('Backlog Backend'!B:B,B29)</f>
      </c>
    </row>
    <row r="30" ht="15" customHeight="1" spans="1:3" x14ac:dyDescent="0.25">
      <c r="B30" s="8" t="s">
        <v>184</v>
      </c>
      <c r="C30" s="9">
        <f>COUNTIF('Backlog Backend'!B:B,B30)</f>
      </c>
    </row>
    <row r="31" ht="15" customHeight="1" spans="1:3" x14ac:dyDescent="0.25">
      <c r="B31" s="8" t="s">
        <v>191</v>
      </c>
      <c r="C31" s="9">
        <f>COUNTIF('Backlog Backend'!B:B,B31)</f>
      </c>
    </row>
    <row r="32" ht="15" customHeight="1" spans="1:3" x14ac:dyDescent="0.25">
      <c r="B32" s="8" t="s">
        <v>212</v>
      </c>
      <c r="C32" s="9">
        <f>COUNTIF('Backlog Backend'!B:B,B32)</f>
      </c>
    </row>
    <row r="33" ht="15" customHeight="1" spans="1:3" x14ac:dyDescent="0.25">
      <c r="B33" s="8" t="s">
        <v>222</v>
      </c>
      <c r="C33" s="9">
        <f>COUNTIF('Backlog Backend'!B:B,B33)</f>
      </c>
    </row>
    <row r="34" ht="15" customHeight="1" spans="1:3" x14ac:dyDescent="0.25">
      <c r="B34" s="8" t="s">
        <v>233</v>
      </c>
      <c r="C34" s="9">
        <f>COUNTIF('Backlog Backend'!B:B,B34)</f>
      </c>
    </row>
    <row r="35" ht="15" customHeight="1" spans="1:3" x14ac:dyDescent="0.25">
      <c r="B35" s="8" t="s">
        <v>245</v>
      </c>
      <c r="C35" s="9">
        <f>COUNTIF('Backlog Backend'!B:B,B35)</f>
      </c>
    </row>
    <row r="36" ht="15" customHeight="1" spans="1:3" x14ac:dyDescent="0.25">
      <c r="B36" s="8" t="s">
        <v>257</v>
      </c>
      <c r="C36" s="9">
        <f>COUNTIF('Backlog Backend'!B:B,B36)</f>
      </c>
    </row>
    <row r="37" ht="15" customHeight="1" spans="1:3" x14ac:dyDescent="0.25">
      <c r="B37" s="8" t="s">
        <v>279</v>
      </c>
      <c r="C37" s="9">
        <f>COUNTIF('Backlog Backend'!B:B,B37)</f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3" customWidth="1"/>
    <col min="2" max="2" width="22" customWidth="1"/>
    <col min="3" max="3" width="70" customWidth="1"/>
  </cols>
  <sheetData>
    <row r="2" ht="17.35" customHeight="1" spans="2:2" x14ac:dyDescent="0.25">
      <c r="B2" s="5" t="s">
        <v>291</v>
      </c>
    </row>
    <row r="4" ht="27.75" customHeight="1" spans="2:3" x14ac:dyDescent="0.25">
      <c r="B4" s="11" t="s">
        <v>292</v>
      </c>
      <c r="C4" s="12" t="s">
        <v>293</v>
      </c>
    </row>
    <row r="6" ht="27.75" customHeight="1" spans="2:3" x14ac:dyDescent="0.25">
      <c r="B6" s="11" t="s">
        <v>292</v>
      </c>
      <c r="C6" s="12" t="s">
        <v>294</v>
      </c>
    </row>
    <row r="8" ht="27.75" customHeight="1" spans="2:3" x14ac:dyDescent="0.25">
      <c r="B8" s="11" t="s">
        <v>292</v>
      </c>
      <c r="C8" s="12" t="s">
        <v>295</v>
      </c>
    </row>
    <row r="10" ht="27.75" customHeight="1" spans="2:3" x14ac:dyDescent="0.25">
      <c r="B10" s="11" t="s">
        <v>292</v>
      </c>
      <c r="C10" s="12" t="s">
        <v>296</v>
      </c>
    </row>
    <row r="12" ht="27.75" customHeight="1" spans="2:3" x14ac:dyDescent="0.25">
      <c r="B12" s="11" t="s">
        <v>292</v>
      </c>
      <c r="C12" s="12" t="s">
        <v>297</v>
      </c>
    </row>
    <row r="15" ht="15" customHeight="1" spans="2:2" x14ac:dyDescent="0.25">
      <c r="B15" s="6" t="s">
        <v>4</v>
      </c>
    </row>
    <row r="16" ht="15" customHeight="1" spans="2:3" x14ac:dyDescent="0.25">
      <c r="B16" s="13" t="s">
        <v>13</v>
      </c>
      <c r="C16" s="8" t="s">
        <v>298</v>
      </c>
    </row>
    <row r="17" ht="15" customHeight="1" spans="2:3" x14ac:dyDescent="0.25">
      <c r="B17" s="14" t="s">
        <v>24</v>
      </c>
      <c r="C17" s="8" t="s">
        <v>299</v>
      </c>
    </row>
    <row r="18" ht="15" customHeight="1" spans="2:3" x14ac:dyDescent="0.25">
      <c r="B18" s="15" t="s">
        <v>62</v>
      </c>
      <c r="C18" s="8" t="s">
        <v>300</v>
      </c>
    </row>
    <row r="20" ht="15" customHeight="1" spans="2:2" x14ac:dyDescent="0.25">
      <c r="B20" s="6" t="s">
        <v>7</v>
      </c>
    </row>
    <row r="21" ht="15" customHeight="1" spans="2:3" x14ac:dyDescent="0.25">
      <c r="B21" s="16" t="s">
        <v>288</v>
      </c>
      <c r="C21" s="8" t="s">
        <v>301</v>
      </c>
    </row>
    <row r="22" ht="15" customHeight="1" spans="2:3" x14ac:dyDescent="0.25">
      <c r="B22" s="17" t="s">
        <v>29</v>
      </c>
      <c r="C22" s="8" t="s">
        <v>302</v>
      </c>
    </row>
    <row r="23" ht="15" customHeight="1" spans="2:3" x14ac:dyDescent="0.25">
      <c r="B23" s="18" t="s">
        <v>266</v>
      </c>
      <c r="C23" s="8" t="s">
        <v>303</v>
      </c>
    </row>
    <row r="24" ht="15" customHeight="1" spans="2:3" x14ac:dyDescent="0.25">
      <c r="B24" s="19" t="s">
        <v>262</v>
      </c>
      <c r="C24" s="8" t="s">
        <v>304</v>
      </c>
    </row>
    <row r="25" ht="15" customHeight="1" spans="2:3" x14ac:dyDescent="0.25">
      <c r="B25" s="20" t="s">
        <v>55</v>
      </c>
      <c r="C25" s="8" t="s">
        <v>305</v>
      </c>
    </row>
    <row r="26" ht="15" customHeight="1" spans="2:3" x14ac:dyDescent="0.25">
      <c r="B26" s="21" t="s">
        <v>15</v>
      </c>
      <c r="C26" s="8" t="s">
        <v>306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Backlog Backend</vt:lpstr>
      <vt:lpstr>Resumen</vt:lpstr>
      <vt:lpstr>Leyenda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cp:revision>1</cp:revision>
  <dcterms:created xsi:type="dcterms:W3CDTF">2026-08-18T03:44:50Z</dcterms:created>
  <dcterms:modified xsi:type="dcterms:W3CDTF">2026-08-18T03:44:57Z</dcterms:modified>
</cp:coreProperties>
</file>